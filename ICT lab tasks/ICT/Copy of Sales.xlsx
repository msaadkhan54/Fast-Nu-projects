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p i7\Videos\Downloads\"/>
    </mc:Choice>
  </mc:AlternateContent>
  <xr:revisionPtr revIDLastSave="0" documentId="13_ncr:1_{C787DF52-A1D2-43B8-9F83-571598608E9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" sheetId="6" r:id="rId6"/>
    <sheet name="Jul" sheetId="7" r:id="rId7"/>
    <sheet name="Aug" sheetId="8" r:id="rId8"/>
    <sheet name="Sept" sheetId="9" r:id="rId9"/>
    <sheet name="Oct" sheetId="10" r:id="rId10"/>
    <sheet name="Nov" sheetId="11" r:id="rId11"/>
    <sheet name="Dec" sheetId="12" r:id="rId12"/>
    <sheet name="Annual Sale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vFQHMzmETkh/RukqdRdgt/SGVlCHF3FafSMFUTYvl3o="/>
    </ext>
  </extLst>
</workbook>
</file>

<file path=xl/calcChain.xml><?xml version="1.0" encoding="utf-8"?>
<calcChain xmlns="http://schemas.openxmlformats.org/spreadsheetml/2006/main">
  <c r="K8" i="13" l="1"/>
  <c r="K7" i="13"/>
  <c r="K6" i="13"/>
  <c r="K5" i="13"/>
  <c r="K4" i="13"/>
  <c r="K3" i="13"/>
  <c r="K2" i="13"/>
  <c r="K8" i="12"/>
  <c r="K6" i="12"/>
  <c r="I6" i="12"/>
  <c r="K4" i="12"/>
  <c r="I4" i="12"/>
  <c r="K2" i="12"/>
  <c r="I2" i="12"/>
  <c r="G2" i="12"/>
  <c r="K8" i="11"/>
  <c r="K6" i="11"/>
  <c r="I6" i="11"/>
  <c r="K4" i="11"/>
  <c r="I4" i="11"/>
  <c r="K2" i="11"/>
  <c r="I2" i="11"/>
  <c r="G2" i="11"/>
  <c r="K8" i="10"/>
  <c r="K6" i="10"/>
  <c r="I6" i="10"/>
  <c r="K4" i="10"/>
  <c r="I4" i="10"/>
  <c r="K2" i="10"/>
  <c r="I2" i="10"/>
  <c r="G2" i="10"/>
  <c r="K8" i="9"/>
  <c r="K6" i="9"/>
  <c r="I6" i="9"/>
  <c r="K4" i="9"/>
  <c r="I4" i="9"/>
  <c r="K2" i="9"/>
  <c r="I2" i="9"/>
  <c r="G2" i="9"/>
  <c r="K8" i="8"/>
  <c r="K6" i="8"/>
  <c r="I6" i="8"/>
  <c r="K4" i="8"/>
  <c r="I4" i="8"/>
  <c r="K2" i="8"/>
  <c r="I2" i="8"/>
  <c r="G2" i="8"/>
  <c r="K8" i="7"/>
  <c r="K6" i="7"/>
  <c r="I6" i="7"/>
  <c r="K4" i="7"/>
  <c r="I4" i="7"/>
  <c r="K2" i="7"/>
  <c r="I2" i="7"/>
  <c r="G2" i="7"/>
  <c r="K8" i="6"/>
  <c r="K6" i="6"/>
  <c r="I6" i="6"/>
  <c r="K4" i="6"/>
  <c r="I4" i="6"/>
  <c r="K2" i="6"/>
  <c r="I2" i="6"/>
  <c r="G2" i="6"/>
  <c r="K8" i="5"/>
  <c r="K6" i="5"/>
  <c r="I6" i="5"/>
  <c r="K4" i="5"/>
  <c r="I4" i="5"/>
  <c r="K2" i="5"/>
  <c r="I2" i="5"/>
  <c r="G2" i="5"/>
  <c r="K8" i="4"/>
  <c r="K6" i="4"/>
  <c r="I6" i="4"/>
  <c r="K4" i="4"/>
  <c r="I4" i="4"/>
  <c r="K2" i="4"/>
  <c r="I2" i="4"/>
  <c r="G2" i="4"/>
  <c r="K8" i="3"/>
  <c r="K6" i="3"/>
  <c r="I6" i="3"/>
  <c r="K4" i="3"/>
  <c r="I4" i="3"/>
  <c r="K2" i="3"/>
  <c r="I2" i="3"/>
  <c r="G2" i="3"/>
  <c r="K8" i="2"/>
  <c r="K6" i="2"/>
  <c r="I6" i="2"/>
  <c r="K4" i="2"/>
  <c r="I4" i="2"/>
  <c r="K2" i="2"/>
  <c r="I2" i="2"/>
  <c r="G2" i="2"/>
  <c r="K8" i="1"/>
  <c r="K6" i="1"/>
  <c r="I6" i="1"/>
  <c r="K4" i="1"/>
  <c r="I4" i="1"/>
  <c r="K2" i="1"/>
  <c r="I2" i="1"/>
  <c r="G2" i="1"/>
</calcChain>
</file>

<file path=xl/sharedStrings.xml><?xml version="1.0" encoding="utf-8"?>
<sst xmlns="http://schemas.openxmlformats.org/spreadsheetml/2006/main" count="484" uniqueCount="58">
  <si>
    <t>Order ID</t>
  </si>
  <si>
    <t>Order Date</t>
  </si>
  <si>
    <t>Product Category</t>
  </si>
  <si>
    <t>Sales Amount</t>
  </si>
  <si>
    <t>Region</t>
  </si>
  <si>
    <t>Total
Monthly
Sale</t>
  </si>
  <si>
    <t>PRODUCTS</t>
  </si>
  <si>
    <t xml:space="preserve">Total Sale
 Product  Wise
</t>
  </si>
  <si>
    <t>REGION</t>
  </si>
  <si>
    <t>Total Sale
Region Wise</t>
  </si>
  <si>
    <t>Electronics</t>
  </si>
  <si>
    <t>North</t>
  </si>
  <si>
    <t>NORTH</t>
  </si>
  <si>
    <t>South</t>
  </si>
  <si>
    <t>West</t>
  </si>
  <si>
    <t>Clothing</t>
  </si>
  <si>
    <t>SOUTH</t>
  </si>
  <si>
    <t>East</t>
  </si>
  <si>
    <t>Furniture</t>
  </si>
  <si>
    <t>EAST</t>
  </si>
  <si>
    <t>WEST</t>
  </si>
  <si>
    <t>south</t>
  </si>
  <si>
    <t>Serial.No</t>
  </si>
  <si>
    <t>Months</t>
  </si>
  <si>
    <t>Total Sales For Each
Months (Electronics)</t>
  </si>
  <si>
    <t>Total Sales For Each
Months (Clothing)</t>
  </si>
  <si>
    <t>Total Sales For Each
Months (Furniture)</t>
  </si>
  <si>
    <t>Region(north)</t>
  </si>
  <si>
    <t>Region(South)</t>
  </si>
  <si>
    <t>Region(East)</t>
  </si>
  <si>
    <t>Region(West)</t>
  </si>
  <si>
    <t>TOTAL(headings)</t>
  </si>
  <si>
    <t>Answer</t>
  </si>
  <si>
    <t>January</t>
  </si>
  <si>
    <t>Total Sale For 12
Months(Electronics)</t>
  </si>
  <si>
    <t>Febraury</t>
  </si>
  <si>
    <t>Total Sale For 12
Months(Clothing)</t>
  </si>
  <si>
    <t>March</t>
  </si>
  <si>
    <t>Total Sale For 12
Months(Furniture)</t>
  </si>
  <si>
    <t>April</t>
  </si>
  <si>
    <t>Total Sale For 
12 Months(North)</t>
  </si>
  <si>
    <t>May</t>
  </si>
  <si>
    <t>Total Sale For 
12 Months(South)</t>
  </si>
  <si>
    <t>June</t>
  </si>
  <si>
    <t>Total Sale For 
12 Months(East)</t>
  </si>
  <si>
    <t>July</t>
  </si>
  <si>
    <t>Total Sale For 
12 Months(West)</t>
  </si>
  <si>
    <t>August</t>
  </si>
  <si>
    <t>September</t>
  </si>
  <si>
    <t>October</t>
  </si>
  <si>
    <t>November</t>
  </si>
  <si>
    <t>December</t>
  </si>
  <si>
    <t>ANNUAL SALES</t>
  </si>
  <si>
    <t>YEARLY SALES CATEGORY WISE</t>
  </si>
  <si>
    <t>YEARLY SALES REGION WISE</t>
  </si>
  <si>
    <t>ELECTRONICS</t>
  </si>
  <si>
    <t>CLOTHING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</si>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</sst>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b/>
      <sz val="11"/>
      <color theme="1"/>
      <name val="Arial"/>
    </font>
    <font>
      <sz val="11"/>
      <color rgb="FF1155CC"/>
      <name val="Trebuchet MS"/>
    </font>
    <font>
      <sz val="11"/>
      <color rgb="FF788E4F"/>
      <name val="Trebuchet MS"/>
    </font>
    <font>
      <sz val="11"/>
      <color theme="1"/>
      <name val="Georgia"/>
    </font>
    <font>
      <b/>
      <sz val="11"/>
      <color theme="1"/>
      <name val="Georgia"/>
    </font>
    <font>
      <sz val="11"/>
      <color theme="1"/>
      <name val="Georgia"/>
    </font>
    <font>
      <b/>
      <sz val="10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Comic Sans MS"/>
    </font>
    <font>
      <sz val="11"/>
      <color theme="1"/>
      <name val="Comic Sans MS"/>
    </font>
    <font>
      <sz val="11"/>
      <color theme="1"/>
      <name val="Lobster"/>
    </font>
    <font>
      <sz val="11"/>
      <color theme="1"/>
      <name val="Lobster"/>
    </font>
    <font>
      <sz val="11"/>
      <color theme="1"/>
      <name val="Verdana"/>
    </font>
    <font>
      <sz val="11"/>
      <color theme="1"/>
      <name val="Verdana"/>
    </font>
    <font>
      <sz val="14"/>
      <color theme="1"/>
      <name val="Amatic SC"/>
    </font>
    <font>
      <sz val="11"/>
      <color theme="1"/>
      <name val="EB Garamond"/>
    </font>
    <font>
      <sz val="11"/>
      <color theme="1"/>
      <name val="EB Garamond"/>
    </font>
    <font>
      <sz val="11"/>
      <color theme="1"/>
      <name val="Dancing Script"/>
    </font>
    <font>
      <sz val="11"/>
      <color theme="1"/>
      <name val="Dancing Script"/>
    </font>
    <font>
      <sz val="11"/>
      <color theme="1"/>
      <name val="Caveat"/>
    </font>
    <font>
      <sz val="11"/>
      <color theme="1"/>
      <name val="Caveat"/>
    </font>
    <font>
      <b/>
      <u/>
      <sz val="11"/>
      <color rgb="FF0000FF"/>
      <name val="Comic Sans MS"/>
    </font>
    <font>
      <b/>
      <sz val="11"/>
      <color theme="1"/>
      <name val="Comic Sans MS"/>
    </font>
    <font>
      <b/>
      <sz val="13"/>
      <color theme="1"/>
      <name val="Arial"/>
    </font>
    <font>
      <sz val="11"/>
      <color rgb="FFCC0000"/>
      <name val="Arial"/>
    </font>
    <font>
      <sz val="11"/>
      <color rgb="FF38761D"/>
      <name val="Aptos Narrow"/>
      <scheme val="minor"/>
    </font>
    <font>
      <b/>
      <i/>
      <sz val="11"/>
      <color theme="1"/>
      <name val="Arial"/>
    </font>
  </fonts>
  <fills count="36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A2C4C9"/>
        <bgColor rgb="FFA2C4C9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980000"/>
        <bgColor rgb="FF980000"/>
      </patternFill>
    </fill>
    <fill>
      <patternFill patternType="solid">
        <fgColor rgb="FF6AA84F"/>
        <bgColor rgb="FF6AA84F"/>
      </patternFill>
    </fill>
    <fill>
      <patternFill patternType="solid">
        <fgColor rgb="FFA64D79"/>
        <bgColor rgb="FFA64D79"/>
      </patternFill>
    </fill>
    <fill>
      <patternFill patternType="solid">
        <fgColor rgb="FF0000FF"/>
        <bgColor rgb="FF0000FF"/>
      </patternFill>
    </fill>
    <fill>
      <patternFill patternType="solid">
        <fgColor rgb="FFA61C00"/>
        <bgColor rgb="FFA61C00"/>
      </patternFill>
    </fill>
    <fill>
      <patternFill patternType="solid">
        <fgColor rgb="FFCC0000"/>
        <bgColor rgb="FFCC0000"/>
      </patternFill>
    </fill>
    <fill>
      <patternFill patternType="solid">
        <fgColor rgb="FFC27BA0"/>
        <bgColor rgb="FFC27BA0"/>
      </patternFill>
    </fill>
    <fill>
      <patternFill patternType="solid">
        <fgColor rgb="FFFF00FF"/>
        <bgColor rgb="FFFF00FF"/>
      </patternFill>
    </fill>
    <fill>
      <patternFill patternType="solid">
        <fgColor rgb="FF8E7CC3"/>
        <bgColor rgb="FF8E7CC3"/>
      </patternFill>
    </fill>
    <fill>
      <patternFill patternType="solid">
        <fgColor rgb="FF674EA7"/>
        <bgColor rgb="FF674EA7"/>
      </patternFill>
    </fill>
  </fills>
  <borders count="15">
    <border>
      <left/>
      <right/>
      <top/>
      <bottom/>
      <diagonal/>
    </border>
    <border>
      <left style="thick">
        <color rgb="FF156082"/>
      </left>
      <right style="thick">
        <color rgb="FF156082"/>
      </right>
      <top style="thick">
        <color rgb="FF156082"/>
      </top>
      <bottom/>
      <diagonal/>
    </border>
    <border>
      <left style="double">
        <color rgb="FF156082"/>
      </left>
      <right style="double">
        <color rgb="FF156082"/>
      </right>
      <top style="double">
        <color rgb="FF156082"/>
      </top>
      <bottom style="double">
        <color rgb="FF156082"/>
      </bottom>
      <diagonal/>
    </border>
    <border>
      <left style="double">
        <color rgb="FFCC0000"/>
      </left>
      <right style="double">
        <color rgb="FFCC0000"/>
      </right>
      <top style="double">
        <color rgb="FFCC0000"/>
      </top>
      <bottom style="double">
        <color rgb="FFCC0000"/>
      </bottom>
      <diagonal/>
    </border>
    <border>
      <left style="double">
        <color rgb="FF9900FF"/>
      </left>
      <right style="double">
        <color rgb="FF9900FF"/>
      </right>
      <top style="double">
        <color rgb="FF9900FF"/>
      </top>
      <bottom style="double">
        <color rgb="FF9900FF"/>
      </bottom>
      <diagonal/>
    </border>
    <border>
      <left style="double">
        <color rgb="FF85200C"/>
      </left>
      <right style="double">
        <color rgb="FF85200C"/>
      </right>
      <top style="double">
        <color rgb="FF85200C"/>
      </top>
      <bottom style="double">
        <color rgb="FF85200C"/>
      </bottom>
      <diagonal/>
    </border>
    <border>
      <left style="double">
        <color rgb="FF351C75"/>
      </left>
      <right style="double">
        <color rgb="FF351C75"/>
      </right>
      <top style="double">
        <color rgb="FF351C75"/>
      </top>
      <bottom style="double">
        <color rgb="FF351C75"/>
      </bottom>
      <diagonal/>
    </border>
    <border>
      <left style="double">
        <color rgb="FF4C1130"/>
      </left>
      <right style="double">
        <color rgb="FF4C1130"/>
      </right>
      <top style="double">
        <color rgb="FF4C1130"/>
      </top>
      <bottom style="double">
        <color rgb="FF4C1130"/>
      </bottom>
      <diagonal/>
    </border>
    <border>
      <left style="double">
        <color rgb="FFFF9900"/>
      </left>
      <right style="double">
        <color rgb="FFFF9900"/>
      </right>
      <top style="double">
        <color rgb="FFFF9900"/>
      </top>
      <bottom style="double">
        <color rgb="FFFF9900"/>
      </bottom>
      <diagonal/>
    </border>
    <border>
      <left style="thick">
        <color rgb="FFFF9900"/>
      </left>
      <right style="thick">
        <color rgb="FFFF9900"/>
      </right>
      <top style="thick">
        <color rgb="FFFF9900"/>
      </top>
      <bottom style="thick">
        <color rgb="FFFF9900"/>
      </bottom>
      <diagonal/>
    </border>
    <border>
      <left style="thick">
        <color rgb="FF741B47"/>
      </left>
      <right style="thick">
        <color rgb="FF741B47"/>
      </right>
      <top style="thick">
        <color rgb="FF741B47"/>
      </top>
      <bottom style="thick">
        <color rgb="FF741B47"/>
      </bottom>
      <diagonal/>
    </border>
    <border>
      <left style="thick">
        <color rgb="FF274E13"/>
      </left>
      <right style="thick">
        <color rgb="FF274E13"/>
      </right>
      <top style="thick">
        <color rgb="FF274E13"/>
      </top>
      <bottom style="thick">
        <color rgb="FF274E13"/>
      </bottom>
      <diagonal/>
    </border>
    <border>
      <left style="thick">
        <color rgb="FF783F04"/>
      </left>
      <right style="thick">
        <color rgb="FF783F04"/>
      </right>
      <top style="thick">
        <color rgb="FF783F04"/>
      </top>
      <bottom style="thick">
        <color rgb="FF783F0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 wrapText="1"/>
    </xf>
    <xf numFmtId="14" fontId="5" fillId="4" borderId="2" xfId="0" applyNumberFormat="1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2" fillId="0" borderId="2" xfId="0" applyFont="1" applyBorder="1"/>
    <xf numFmtId="0" fontId="2" fillId="5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12" borderId="2" xfId="0" applyFont="1" applyFill="1" applyBorder="1" applyAlignment="1">
      <alignment horizontal="center"/>
    </xf>
    <xf numFmtId="0" fontId="6" fillId="0" borderId="2" xfId="0" applyFont="1" applyBorder="1"/>
    <xf numFmtId="0" fontId="1" fillId="13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14" fontId="8" fillId="6" borderId="3" xfId="0" applyNumberFormat="1" applyFont="1" applyFill="1" applyBorder="1" applyAlignment="1">
      <alignment vertical="center" wrapText="1"/>
    </xf>
    <xf numFmtId="0" fontId="6" fillId="0" borderId="3" xfId="0" applyFont="1" applyBorder="1"/>
    <xf numFmtId="0" fontId="6" fillId="7" borderId="3" xfId="0" applyFont="1" applyFill="1" applyBorder="1"/>
    <xf numFmtId="0" fontId="6" fillId="14" borderId="3" xfId="0" applyFont="1" applyFill="1" applyBorder="1"/>
    <xf numFmtId="0" fontId="6" fillId="15" borderId="3" xfId="0" applyFont="1" applyFill="1" applyBorder="1"/>
    <xf numFmtId="0" fontId="6" fillId="3" borderId="3" xfId="0" applyFont="1" applyFill="1" applyBorder="1"/>
    <xf numFmtId="0" fontId="6" fillId="16" borderId="3" xfId="0" applyFont="1" applyFill="1" applyBorder="1"/>
    <xf numFmtId="0" fontId="1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vertical="center"/>
    </xf>
    <xf numFmtId="0" fontId="10" fillId="0" borderId="4" xfId="0" applyFont="1" applyBorder="1" applyAlignment="1">
      <alignment vertical="center" wrapText="1"/>
    </xf>
    <xf numFmtId="14" fontId="10" fillId="0" borderId="4" xfId="0" applyNumberFormat="1" applyFont="1" applyBorder="1" applyAlignment="1">
      <alignment vertical="center" wrapText="1"/>
    </xf>
    <xf numFmtId="0" fontId="2" fillId="0" borderId="4" xfId="0" applyFont="1" applyBorder="1"/>
    <xf numFmtId="0" fontId="2" fillId="17" borderId="4" xfId="0" applyFont="1" applyFill="1" applyBorder="1"/>
    <xf numFmtId="0" fontId="11" fillId="18" borderId="4" xfId="0" applyFont="1" applyFill="1" applyBorder="1"/>
    <xf numFmtId="0" fontId="2" fillId="18" borderId="4" xfId="0" applyFont="1" applyFill="1" applyBorder="1"/>
    <xf numFmtId="0" fontId="11" fillId="19" borderId="4" xfId="0" applyFont="1" applyFill="1" applyBorder="1"/>
    <xf numFmtId="0" fontId="2" fillId="19" borderId="4" xfId="0" applyFont="1" applyFill="1" applyBorder="1"/>
    <xf numFmtId="0" fontId="1" fillId="20" borderId="5" xfId="0" applyFont="1" applyFill="1" applyBorder="1" applyAlignment="1">
      <alignment horizontal="center" vertical="center" wrapText="1"/>
    </xf>
    <xf numFmtId="0" fontId="2" fillId="20" borderId="5" xfId="0" applyFont="1" applyFill="1" applyBorder="1"/>
    <xf numFmtId="0" fontId="3" fillId="20" borderId="5" xfId="0" applyFont="1" applyFill="1" applyBorder="1" applyAlignment="1">
      <alignment horizontal="center" vertical="center"/>
    </xf>
    <xf numFmtId="0" fontId="9" fillId="20" borderId="5" xfId="0" applyFont="1" applyFill="1" applyBorder="1" applyAlignment="1">
      <alignment horizontal="center" vertical="center"/>
    </xf>
    <xf numFmtId="0" fontId="3" fillId="20" borderId="5" xfId="0" applyFont="1" applyFill="1" applyBorder="1" applyAlignment="1">
      <alignment vertical="center"/>
    </xf>
    <xf numFmtId="0" fontId="8" fillId="0" borderId="5" xfId="0" applyFont="1" applyBorder="1" applyAlignment="1">
      <alignment vertical="center" wrapText="1"/>
    </xf>
    <xf numFmtId="14" fontId="8" fillId="0" borderId="5" xfId="0" applyNumberFormat="1" applyFont="1" applyBorder="1" applyAlignment="1">
      <alignment vertical="center" wrapText="1"/>
    </xf>
    <xf numFmtId="0" fontId="6" fillId="0" borderId="5" xfId="0" applyFont="1" applyBorder="1"/>
    <xf numFmtId="0" fontId="6" fillId="21" borderId="5" xfId="0" applyFont="1" applyFill="1" applyBorder="1"/>
    <xf numFmtId="0" fontId="6" fillId="5" borderId="5" xfId="0" applyFont="1" applyFill="1" applyBorder="1"/>
    <xf numFmtId="0" fontId="2" fillId="5" borderId="5" xfId="0" applyFont="1" applyFill="1" applyBorder="1"/>
    <xf numFmtId="0" fontId="6" fillId="22" borderId="5" xfId="0" applyFont="1" applyFill="1" applyBorder="1"/>
    <xf numFmtId="0" fontId="2" fillId="22" borderId="5" xfId="0" applyFont="1" applyFill="1" applyBorder="1"/>
    <xf numFmtId="0" fontId="1" fillId="23" borderId="6" xfId="0" applyFont="1" applyFill="1" applyBorder="1" applyAlignment="1">
      <alignment horizontal="center" vertical="center" wrapText="1"/>
    </xf>
    <xf numFmtId="0" fontId="2" fillId="23" borderId="6" xfId="0" applyFont="1" applyFill="1" applyBorder="1"/>
    <xf numFmtId="0" fontId="3" fillId="23" borderId="6" xfId="0" applyFont="1" applyFill="1" applyBorder="1" applyAlignment="1">
      <alignment horizontal="center" vertical="center"/>
    </xf>
    <xf numFmtId="0" fontId="9" fillId="23" borderId="6" xfId="0" applyFont="1" applyFill="1" applyBorder="1" applyAlignment="1">
      <alignment horizontal="center" vertical="center"/>
    </xf>
    <xf numFmtId="0" fontId="3" fillId="23" borderId="6" xfId="0" applyFont="1" applyFill="1" applyBorder="1" applyAlignment="1">
      <alignment vertical="center"/>
    </xf>
    <xf numFmtId="0" fontId="12" fillId="0" borderId="6" xfId="0" applyFont="1" applyBorder="1" applyAlignment="1">
      <alignment vertical="center" wrapText="1"/>
    </xf>
    <xf numFmtId="14" fontId="12" fillId="0" borderId="6" xfId="0" applyNumberFormat="1" applyFont="1" applyBorder="1" applyAlignment="1">
      <alignment vertical="center" wrapText="1"/>
    </xf>
    <xf numFmtId="0" fontId="13" fillId="0" borderId="6" xfId="0" applyFont="1" applyBorder="1"/>
    <xf numFmtId="0" fontId="13" fillId="24" borderId="6" xfId="0" applyFont="1" applyFill="1" applyBorder="1"/>
    <xf numFmtId="0" fontId="13" fillId="20" borderId="6" xfId="0" applyFont="1" applyFill="1" applyBorder="1"/>
    <xf numFmtId="0" fontId="13" fillId="25" borderId="6" xfId="0" applyFont="1" applyFill="1" applyBorder="1"/>
    <xf numFmtId="0" fontId="1" fillId="26" borderId="7" xfId="0" applyFont="1" applyFill="1" applyBorder="1" applyAlignment="1">
      <alignment horizontal="center" vertical="center" wrapText="1"/>
    </xf>
    <xf numFmtId="0" fontId="2" fillId="26" borderId="7" xfId="0" applyFont="1" applyFill="1" applyBorder="1"/>
    <xf numFmtId="0" fontId="3" fillId="26" borderId="7" xfId="0" applyFont="1" applyFill="1" applyBorder="1" applyAlignment="1">
      <alignment horizontal="center" vertical="center"/>
    </xf>
    <xf numFmtId="0" fontId="9" fillId="26" borderId="7" xfId="0" applyFont="1" applyFill="1" applyBorder="1" applyAlignment="1">
      <alignment horizontal="center" vertical="center"/>
    </xf>
    <xf numFmtId="0" fontId="3" fillId="26" borderId="7" xfId="0" applyFont="1" applyFill="1" applyBorder="1" applyAlignment="1">
      <alignment vertical="center"/>
    </xf>
    <xf numFmtId="0" fontId="14" fillId="0" borderId="7" xfId="0" applyFont="1" applyBorder="1" applyAlignment="1">
      <alignment vertical="center" wrapText="1"/>
    </xf>
    <xf numFmtId="14" fontId="14" fillId="0" borderId="7" xfId="0" applyNumberFormat="1" applyFont="1" applyBorder="1" applyAlignment="1">
      <alignment vertical="center" wrapText="1"/>
    </xf>
    <xf numFmtId="0" fontId="15" fillId="0" borderId="7" xfId="0" applyFont="1" applyBorder="1"/>
    <xf numFmtId="0" fontId="15" fillId="14" borderId="7" xfId="0" applyFont="1" applyFill="1" applyBorder="1"/>
    <xf numFmtId="0" fontId="15" fillId="27" borderId="7" xfId="0" applyFont="1" applyFill="1" applyBorder="1"/>
    <xf numFmtId="0" fontId="15" fillId="28" borderId="7" xfId="0" applyFont="1" applyFill="1" applyBorder="1"/>
    <xf numFmtId="0" fontId="1" fillId="29" borderId="8" xfId="0" applyFont="1" applyFill="1" applyBorder="1" applyAlignment="1">
      <alignment horizontal="center" vertical="center" wrapText="1"/>
    </xf>
    <xf numFmtId="0" fontId="2" fillId="29" borderId="8" xfId="0" applyFont="1" applyFill="1" applyBorder="1" applyAlignment="1">
      <alignment vertical="center"/>
    </xf>
    <xf numFmtId="0" fontId="3" fillId="29" borderId="8" xfId="0" applyFont="1" applyFill="1" applyBorder="1" applyAlignment="1">
      <alignment horizontal="center" vertical="center"/>
    </xf>
    <xf numFmtId="0" fontId="9" fillId="29" borderId="8" xfId="0" applyFont="1" applyFill="1" applyBorder="1" applyAlignment="1">
      <alignment horizontal="center" vertical="center"/>
    </xf>
    <xf numFmtId="0" fontId="3" fillId="29" borderId="8" xfId="0" applyFont="1" applyFill="1" applyBorder="1" applyAlignment="1">
      <alignment vertical="center"/>
    </xf>
    <xf numFmtId="0" fontId="16" fillId="0" borderId="8" xfId="0" applyFont="1" applyBorder="1" applyAlignment="1">
      <alignment vertical="center" wrapText="1"/>
    </xf>
    <xf numFmtId="14" fontId="16" fillId="0" borderId="8" xfId="0" applyNumberFormat="1" applyFont="1" applyBorder="1" applyAlignment="1">
      <alignment vertical="center" wrapText="1"/>
    </xf>
    <xf numFmtId="0" fontId="17" fillId="0" borderId="8" xfId="0" applyFont="1" applyBorder="1"/>
    <xf numFmtId="0" fontId="17" fillId="30" borderId="8" xfId="0" applyFont="1" applyFill="1" applyBorder="1"/>
    <xf numFmtId="0" fontId="17" fillId="31" borderId="8" xfId="0" applyFont="1" applyFill="1" applyBorder="1"/>
    <xf numFmtId="0" fontId="17" fillId="32" borderId="8" xfId="0" applyFont="1" applyFill="1" applyBorder="1"/>
    <xf numFmtId="0" fontId="1" fillId="33" borderId="8" xfId="0" applyFont="1" applyFill="1" applyBorder="1" applyAlignment="1">
      <alignment horizontal="center" vertical="center" wrapText="1"/>
    </xf>
    <xf numFmtId="0" fontId="2" fillId="33" borderId="8" xfId="0" applyFont="1" applyFill="1" applyBorder="1"/>
    <xf numFmtId="0" fontId="3" fillId="33" borderId="8" xfId="0" applyFont="1" applyFill="1" applyBorder="1" applyAlignment="1">
      <alignment horizontal="center" vertical="center"/>
    </xf>
    <xf numFmtId="0" fontId="9" fillId="33" borderId="8" xfId="0" applyFont="1" applyFill="1" applyBorder="1" applyAlignment="1">
      <alignment horizontal="center" vertical="center"/>
    </xf>
    <xf numFmtId="0" fontId="3" fillId="33" borderId="8" xfId="0" applyFont="1" applyFill="1" applyBorder="1" applyAlignment="1">
      <alignment vertical="center"/>
    </xf>
    <xf numFmtId="0" fontId="18" fillId="0" borderId="8" xfId="0" applyFont="1" applyBorder="1" applyAlignment="1">
      <alignment vertical="center" wrapText="1"/>
    </xf>
    <xf numFmtId="14" fontId="18" fillId="0" borderId="8" xfId="0" applyNumberFormat="1" applyFont="1" applyBorder="1" applyAlignment="1">
      <alignment vertical="center" wrapText="1"/>
    </xf>
    <xf numFmtId="0" fontId="18" fillId="0" borderId="8" xfId="0" applyFont="1" applyBorder="1"/>
    <xf numFmtId="0" fontId="18" fillId="22" borderId="8" xfId="0" applyFont="1" applyFill="1" applyBorder="1"/>
    <xf numFmtId="0" fontId="18" fillId="7" borderId="8" xfId="0" applyFont="1" applyFill="1" applyBorder="1"/>
    <xf numFmtId="0" fontId="18" fillId="34" borderId="8" xfId="0" applyFont="1" applyFill="1" applyBorder="1"/>
    <xf numFmtId="0" fontId="1" fillId="25" borderId="9" xfId="0" applyFont="1" applyFill="1" applyBorder="1" applyAlignment="1">
      <alignment horizontal="center" vertical="center" wrapText="1"/>
    </xf>
    <xf numFmtId="0" fontId="2" fillId="25" borderId="9" xfId="0" applyFont="1" applyFill="1" applyBorder="1"/>
    <xf numFmtId="0" fontId="3" fillId="25" borderId="9" xfId="0" applyFont="1" applyFill="1" applyBorder="1" applyAlignment="1">
      <alignment horizontal="center" vertical="center"/>
    </xf>
    <xf numFmtId="0" fontId="9" fillId="25" borderId="9" xfId="0" applyFont="1" applyFill="1" applyBorder="1" applyAlignment="1">
      <alignment horizontal="center" vertical="center"/>
    </xf>
    <xf numFmtId="0" fontId="3" fillId="25" borderId="9" xfId="0" applyFont="1" applyFill="1" applyBorder="1" applyAlignment="1">
      <alignment vertical="center"/>
    </xf>
    <xf numFmtId="0" fontId="19" fillId="0" borderId="9" xfId="0" applyFont="1" applyBorder="1" applyAlignment="1">
      <alignment vertical="center" wrapText="1"/>
    </xf>
    <xf numFmtId="14" fontId="19" fillId="0" borderId="9" xfId="0" applyNumberFormat="1" applyFont="1" applyBorder="1" applyAlignment="1">
      <alignment vertical="center" wrapText="1"/>
    </xf>
    <xf numFmtId="0" fontId="20" fillId="0" borderId="9" xfId="0" applyFont="1" applyBorder="1"/>
    <xf numFmtId="0" fontId="20" fillId="34" borderId="9" xfId="0" applyFont="1" applyFill="1" applyBorder="1"/>
    <xf numFmtId="0" fontId="1" fillId="24" borderId="10" xfId="0" applyFont="1" applyFill="1" applyBorder="1" applyAlignment="1">
      <alignment horizontal="center" vertical="center" wrapText="1"/>
    </xf>
    <xf numFmtId="0" fontId="2" fillId="24" borderId="10" xfId="0" applyFont="1" applyFill="1" applyBorder="1"/>
    <xf numFmtId="0" fontId="3" fillId="24" borderId="10" xfId="0" applyFont="1" applyFill="1" applyBorder="1" applyAlignment="1">
      <alignment horizontal="center" vertical="center"/>
    </xf>
    <xf numFmtId="0" fontId="9" fillId="24" borderId="10" xfId="0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vertical="center"/>
    </xf>
    <xf numFmtId="0" fontId="10" fillId="0" borderId="10" xfId="0" applyFont="1" applyBorder="1" applyAlignment="1">
      <alignment vertical="center" wrapText="1"/>
    </xf>
    <xf numFmtId="14" fontId="10" fillId="0" borderId="10" xfId="0" applyNumberFormat="1" applyFont="1" applyBorder="1" applyAlignment="1">
      <alignment vertical="center" wrapText="1"/>
    </xf>
    <xf numFmtId="0" fontId="2" fillId="0" borderId="10" xfId="0" applyFont="1" applyBorder="1"/>
    <xf numFmtId="0" fontId="2" fillId="32" borderId="10" xfId="0" applyFont="1" applyFill="1" applyBorder="1"/>
    <xf numFmtId="0" fontId="11" fillId="32" borderId="10" xfId="0" applyFont="1" applyFill="1" applyBorder="1"/>
    <xf numFmtId="0" fontId="1" fillId="27" borderId="11" xfId="0" applyFont="1" applyFill="1" applyBorder="1" applyAlignment="1">
      <alignment horizontal="center" vertical="center" wrapText="1"/>
    </xf>
    <xf numFmtId="0" fontId="2" fillId="27" borderId="11" xfId="0" applyFont="1" applyFill="1" applyBorder="1"/>
    <xf numFmtId="0" fontId="3" fillId="27" borderId="11" xfId="0" applyFont="1" applyFill="1" applyBorder="1" applyAlignment="1">
      <alignment horizontal="center" vertical="center"/>
    </xf>
    <xf numFmtId="0" fontId="9" fillId="27" borderId="11" xfId="0" applyFont="1" applyFill="1" applyBorder="1" applyAlignment="1">
      <alignment horizontal="center" vertical="center"/>
    </xf>
    <xf numFmtId="0" fontId="3" fillId="27" borderId="11" xfId="0" applyFont="1" applyFill="1" applyBorder="1" applyAlignment="1">
      <alignment vertical="center"/>
    </xf>
    <xf numFmtId="0" fontId="21" fillId="0" borderId="11" xfId="0" applyFont="1" applyBorder="1" applyAlignment="1">
      <alignment vertical="center" wrapText="1"/>
    </xf>
    <xf numFmtId="14" fontId="21" fillId="0" borderId="11" xfId="0" applyNumberFormat="1" applyFont="1" applyBorder="1" applyAlignment="1">
      <alignment vertical="center" wrapText="1"/>
    </xf>
    <xf numFmtId="0" fontId="22" fillId="0" borderId="11" xfId="0" applyFont="1" applyBorder="1"/>
    <xf numFmtId="0" fontId="22" fillId="12" borderId="11" xfId="0" applyFont="1" applyFill="1" applyBorder="1"/>
    <xf numFmtId="0" fontId="1" fillId="35" borderId="12" xfId="0" applyFont="1" applyFill="1" applyBorder="1" applyAlignment="1">
      <alignment horizontal="center" vertical="center" wrapText="1"/>
    </xf>
    <xf numFmtId="0" fontId="2" fillId="35" borderId="12" xfId="0" applyFont="1" applyFill="1" applyBorder="1"/>
    <xf numFmtId="0" fontId="3" fillId="35" borderId="12" xfId="0" applyFont="1" applyFill="1" applyBorder="1" applyAlignment="1">
      <alignment horizontal="center" vertical="center"/>
    </xf>
    <xf numFmtId="0" fontId="9" fillId="35" borderId="12" xfId="0" applyFont="1" applyFill="1" applyBorder="1" applyAlignment="1">
      <alignment horizontal="center" vertical="center"/>
    </xf>
    <xf numFmtId="0" fontId="3" fillId="35" borderId="12" xfId="0" applyFont="1" applyFill="1" applyBorder="1" applyAlignment="1">
      <alignment vertical="center"/>
    </xf>
    <xf numFmtId="0" fontId="23" fillId="0" borderId="12" xfId="0" applyFont="1" applyBorder="1" applyAlignment="1">
      <alignment vertical="center" wrapText="1"/>
    </xf>
    <xf numFmtId="14" fontId="23" fillId="0" borderId="12" xfId="0" applyNumberFormat="1" applyFont="1" applyBorder="1" applyAlignment="1">
      <alignment vertical="center" wrapText="1"/>
    </xf>
    <xf numFmtId="0" fontId="24" fillId="0" borderId="12" xfId="0" applyFont="1" applyBorder="1"/>
    <xf numFmtId="0" fontId="24" fillId="21" borderId="12" xfId="0" applyFont="1" applyFill="1" applyBorder="1"/>
    <xf numFmtId="0" fontId="25" fillId="23" borderId="13" xfId="0" applyFont="1" applyFill="1" applyBorder="1" applyAlignment="1">
      <alignment horizontal="center" vertical="center"/>
    </xf>
    <xf numFmtId="0" fontId="26" fillId="23" borderId="13" xfId="0" applyFont="1" applyFill="1" applyBorder="1" applyAlignment="1">
      <alignment horizontal="center" vertical="center"/>
    </xf>
    <xf numFmtId="0" fontId="27" fillId="25" borderId="13" xfId="0" applyFont="1" applyFill="1" applyBorder="1" applyAlignment="1">
      <alignment horizontal="center" vertical="center"/>
    </xf>
    <xf numFmtId="0" fontId="11" fillId="0" borderId="13" xfId="0" applyFont="1" applyBorder="1"/>
    <xf numFmtId="0" fontId="28" fillId="0" borderId="13" xfId="0" applyFont="1" applyBorder="1"/>
    <xf numFmtId="0" fontId="3" fillId="25" borderId="13" xfId="0" applyFont="1" applyFill="1" applyBorder="1" applyAlignment="1">
      <alignment horizontal="center" vertical="center"/>
    </xf>
    <xf numFmtId="0" fontId="29" fillId="0" borderId="13" xfId="0" applyFont="1" applyBorder="1"/>
    <xf numFmtId="0" fontId="3" fillId="25" borderId="13" xfId="0" applyFont="1" applyFill="1" applyBorder="1"/>
    <xf numFmtId="0" fontId="11" fillId="0" borderId="0" xfId="0" applyFont="1"/>
    <xf numFmtId="0" fontId="11" fillId="0" borderId="14" xfId="0" applyFont="1" applyBorder="1"/>
    <xf numFmtId="0" fontId="30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1">
    <dxf>
      <font>
        <color rgb="FF741B47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Jan!$H$2:$H$6</c:f>
              <c:strCache>
                <c:ptCount val="5"/>
                <c:pt idx="0">
                  <c:v>Electronics</c:v>
                </c:pt>
                <c:pt idx="2">
                  <c:v>Clothing</c:v>
                </c:pt>
                <c:pt idx="4">
                  <c:v>Furniture</c:v>
                </c:pt>
              </c:strCache>
            </c:strRef>
          </c:cat>
          <c:val>
            <c:numRef>
              <c:f>Jan!$I$2:$I$6</c:f>
              <c:numCache>
                <c:formatCode>General</c:formatCode>
                <c:ptCount val="5"/>
                <c:pt idx="0">
                  <c:v>6900</c:v>
                </c:pt>
                <c:pt idx="2">
                  <c:v>900</c:v>
                </c:pt>
                <c:pt idx="4">
                  <c:v>1700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318-461B-B9BA-36A0BAD65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1011887"/>
        <c:axId val="1100443112"/>
      </c:barChart>
      <c:catAx>
        <c:axId val="1651011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00443112"/>
        <c:crosses val="autoZero"/>
        <c:auto val="1"/>
        <c:lblAlgn val="ctr"/>
        <c:lblOffset val="100"/>
        <c:noMultiLvlLbl val="1"/>
      </c:catAx>
      <c:valAx>
        <c:axId val="1100443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10118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
Monthly
Sale, Total Sale
 Product  Wise
 and Total Sale
Region Wise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Jan!$K$2</c:f>
              <c:strCache>
                <c:ptCount val="1"/>
                <c:pt idx="0">
                  <c:v>2800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Jan!$J$3:$J$8</c:f>
              <c:strCache>
                <c:ptCount val="6"/>
                <c:pt idx="1">
                  <c:v>SOUTH</c:v>
                </c:pt>
                <c:pt idx="3">
                  <c:v>EAST</c:v>
                </c:pt>
                <c:pt idx="5">
                  <c:v>WEST</c:v>
                </c:pt>
              </c:strCache>
            </c:strRef>
          </c:cat>
          <c:val>
            <c:numRef>
              <c:f>Jan!$K$3:$K$8</c:f>
              <c:numCache>
                <c:formatCode>General</c:formatCode>
                <c:ptCount val="6"/>
                <c:pt idx="1">
                  <c:v>2100</c:v>
                </c:pt>
                <c:pt idx="3">
                  <c:v>1100</c:v>
                </c:pt>
                <c:pt idx="5">
                  <c:v>3500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19A-4CDC-9144-B38937A7D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2306022"/>
        <c:axId val="251541961"/>
      </c:barChart>
      <c:catAx>
        <c:axId val="1752306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1541961"/>
        <c:crosses val="autoZero"/>
        <c:auto val="1"/>
        <c:lblAlgn val="ctr"/>
        <c:lblOffset val="100"/>
        <c:noMultiLvlLbl val="1"/>
      </c:catAx>
      <c:valAx>
        <c:axId val="251541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5230602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Feb!$H$2:$H$6</c:f>
              <c:strCache>
                <c:ptCount val="5"/>
                <c:pt idx="0">
                  <c:v>Electronics</c:v>
                </c:pt>
                <c:pt idx="2">
                  <c:v>Clothing</c:v>
                </c:pt>
                <c:pt idx="4">
                  <c:v>Furniture</c:v>
                </c:pt>
              </c:strCache>
            </c:strRef>
          </c:cat>
          <c:val>
            <c:numRef>
              <c:f>Feb!$I$2:$I$6</c:f>
              <c:numCache>
                <c:formatCode>General</c:formatCode>
                <c:ptCount val="5"/>
                <c:pt idx="0">
                  <c:v>3400</c:v>
                </c:pt>
                <c:pt idx="2">
                  <c:v>2700</c:v>
                </c:pt>
                <c:pt idx="4">
                  <c:v>4900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C08-44D7-B930-6865B5461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7043818"/>
        <c:axId val="1562022360"/>
      </c:barChart>
      <c:catAx>
        <c:axId val="737043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62022360"/>
        <c:crosses val="autoZero"/>
        <c:auto val="1"/>
        <c:lblAlgn val="ctr"/>
        <c:lblOffset val="100"/>
        <c:noMultiLvlLbl val="1"/>
      </c:catAx>
      <c:valAx>
        <c:axId val="1562022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704381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Feb!$J$2:$J$8</c:f>
              <c:strCache>
                <c:ptCount val="7"/>
                <c:pt idx="0">
                  <c:v>North</c:v>
                </c:pt>
                <c:pt idx="2">
                  <c:v>South</c:v>
                </c:pt>
                <c:pt idx="4">
                  <c:v>East</c:v>
                </c:pt>
                <c:pt idx="6">
                  <c:v>West</c:v>
                </c:pt>
              </c:strCache>
            </c:strRef>
          </c:cat>
          <c:val>
            <c:numRef>
              <c:f>Feb!$K$2:$K$8</c:f>
              <c:numCache>
                <c:formatCode>General</c:formatCode>
                <c:ptCount val="7"/>
                <c:pt idx="0">
                  <c:v>4100</c:v>
                </c:pt>
                <c:pt idx="2">
                  <c:v>2000</c:v>
                </c:pt>
                <c:pt idx="4">
                  <c:v>3100</c:v>
                </c:pt>
                <c:pt idx="6">
                  <c:v>1800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C3B-4AB4-93B0-1D9342ACC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5527113"/>
        <c:axId val="1735870974"/>
      </c:barChart>
      <c:catAx>
        <c:axId val="1825527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5870974"/>
        <c:crosses val="autoZero"/>
        <c:auto val="1"/>
        <c:lblAlgn val="ctr"/>
        <c:lblOffset val="100"/>
        <c:noMultiLvlLbl val="1"/>
      </c:catAx>
      <c:valAx>
        <c:axId val="17358709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255271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56082"/>
              </a:solidFill>
            </c:spPr>
            <c:extLst>
              <c:ext xmlns:c16="http://schemas.microsoft.com/office/drawing/2014/chart" uri="{C3380CC4-5D6E-409C-BE32-E72D297353CC}">
                <c16:uniqueId val="{00000001-0FCA-4DC4-A29F-98732E80416A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</c:spPr>
            <c:extLst>
              <c:ext xmlns:c16="http://schemas.microsoft.com/office/drawing/2014/chart" uri="{C3380CC4-5D6E-409C-BE32-E72D297353CC}">
                <c16:uniqueId val="{00000003-0FCA-4DC4-A29F-98732E80416A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</c:spPr>
            <c:extLst>
              <c:ext xmlns:c16="http://schemas.microsoft.com/office/drawing/2014/chart" uri="{C3380CC4-5D6E-409C-BE32-E72D297353CC}">
                <c16:uniqueId val="{00000005-0FCA-4DC4-A29F-98732E80416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6-0FCA-4DC4-A29F-98732E80416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7-0FCA-4DC4-A29F-98732E80416A}"/>
              </c:ext>
            </c:extLst>
          </c:dPt>
          <c:cat>
            <c:strRef>
              <c:f>Mar!$H$2:$H$6</c:f>
              <c:strCache>
                <c:ptCount val="5"/>
                <c:pt idx="0">
                  <c:v>Electronics</c:v>
                </c:pt>
                <c:pt idx="2">
                  <c:v>Clothing</c:v>
                </c:pt>
                <c:pt idx="4">
                  <c:v>Furniture</c:v>
                </c:pt>
              </c:strCache>
            </c:strRef>
          </c:cat>
          <c:val>
            <c:numRef>
              <c:f>Mar!$I$2:$I$6</c:f>
              <c:numCache>
                <c:formatCode>General</c:formatCode>
                <c:ptCount val="5"/>
                <c:pt idx="0">
                  <c:v>4600</c:v>
                </c:pt>
                <c:pt idx="2">
                  <c:v>3100</c:v>
                </c:pt>
                <c:pt idx="4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FCA-4DC4-A29F-98732E804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Mar!$J$2:$J$8</c:f>
              <c:strCache>
                <c:ptCount val="7"/>
                <c:pt idx="0">
                  <c:v>South</c:v>
                </c:pt>
                <c:pt idx="2">
                  <c:v>North</c:v>
                </c:pt>
                <c:pt idx="4">
                  <c:v>East</c:v>
                </c:pt>
                <c:pt idx="6">
                  <c:v>West</c:v>
                </c:pt>
              </c:strCache>
            </c:strRef>
          </c:cat>
          <c:val>
            <c:numRef>
              <c:f>Mar!$K$2:$K$8</c:f>
              <c:numCache>
                <c:formatCode>General</c:formatCode>
                <c:ptCount val="7"/>
                <c:pt idx="0">
                  <c:v>3000</c:v>
                </c:pt>
                <c:pt idx="2">
                  <c:v>4500</c:v>
                </c:pt>
                <c:pt idx="4">
                  <c:v>2200</c:v>
                </c:pt>
                <c:pt idx="6">
                  <c:v>2500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1CB-4DE6-A520-DEEF96D4F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607629"/>
        <c:axId val="366297738"/>
      </c:barChart>
      <c:catAx>
        <c:axId val="646076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6297738"/>
        <c:crosses val="autoZero"/>
        <c:auto val="1"/>
        <c:lblAlgn val="ctr"/>
        <c:lblOffset val="100"/>
        <c:noMultiLvlLbl val="1"/>
      </c:catAx>
      <c:valAx>
        <c:axId val="366297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60762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Apr!$H$2:$H$6</c:f>
              <c:strCache>
                <c:ptCount val="5"/>
                <c:pt idx="0">
                  <c:v>Electronics</c:v>
                </c:pt>
                <c:pt idx="2">
                  <c:v>Clothing</c:v>
                </c:pt>
                <c:pt idx="4">
                  <c:v>Furniture</c:v>
                </c:pt>
              </c:strCache>
            </c:strRef>
          </c:cat>
          <c:val>
            <c:numRef>
              <c:f>Apr!$I$2:$I$6</c:f>
              <c:numCache>
                <c:formatCode>General</c:formatCode>
                <c:ptCount val="5"/>
                <c:pt idx="0">
                  <c:v>3800</c:v>
                </c:pt>
                <c:pt idx="2">
                  <c:v>2800</c:v>
                </c:pt>
                <c:pt idx="4">
                  <c:v>5200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1CF-4DA6-919B-A318684A4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430035"/>
        <c:axId val="1472360838"/>
      </c:barChart>
      <c:catAx>
        <c:axId val="3634300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2360838"/>
        <c:crosses val="autoZero"/>
        <c:auto val="1"/>
        <c:lblAlgn val="ctr"/>
        <c:lblOffset val="100"/>
        <c:noMultiLvlLbl val="1"/>
      </c:catAx>
      <c:valAx>
        <c:axId val="1472360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34300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Apr!$J$2:$J$8</c:f>
              <c:strCache>
                <c:ptCount val="7"/>
                <c:pt idx="0">
                  <c:v>North</c:v>
                </c:pt>
                <c:pt idx="2">
                  <c:v>South</c:v>
                </c:pt>
                <c:pt idx="4">
                  <c:v>East</c:v>
                </c:pt>
                <c:pt idx="6">
                  <c:v>West</c:v>
                </c:pt>
              </c:strCache>
            </c:strRef>
          </c:cat>
          <c:val>
            <c:numRef>
              <c:f>Apr!$K$2:$K$8</c:f>
              <c:numCache>
                <c:formatCode>General</c:formatCode>
                <c:ptCount val="7"/>
                <c:pt idx="0">
                  <c:v>4300</c:v>
                </c:pt>
                <c:pt idx="2">
                  <c:v>1700</c:v>
                </c:pt>
                <c:pt idx="4">
                  <c:v>3500</c:v>
                </c:pt>
                <c:pt idx="6">
                  <c:v>2300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729-4C76-9364-63FAA0528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2218786"/>
        <c:axId val="1303440520"/>
      </c:barChart>
      <c:catAx>
        <c:axId val="10222187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3440520"/>
        <c:crosses val="autoZero"/>
        <c:auto val="1"/>
        <c:lblAlgn val="ctr"/>
        <c:lblOffset val="100"/>
        <c:noMultiLvlLbl val="1"/>
      </c:catAx>
      <c:valAx>
        <c:axId val="1303440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22187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May!$H$2:$H$6</c:f>
              <c:strCache>
                <c:ptCount val="5"/>
                <c:pt idx="0">
                  <c:v>Electronics</c:v>
                </c:pt>
                <c:pt idx="2">
                  <c:v>Clothing</c:v>
                </c:pt>
                <c:pt idx="4">
                  <c:v>Furniture</c:v>
                </c:pt>
              </c:strCache>
            </c:strRef>
          </c:cat>
          <c:val>
            <c:numRef>
              <c:f>May!$I$2:$I$6</c:f>
              <c:numCache>
                <c:formatCode>General</c:formatCode>
                <c:ptCount val="5"/>
                <c:pt idx="0">
                  <c:v>4800</c:v>
                </c:pt>
                <c:pt idx="2">
                  <c:v>2100</c:v>
                </c:pt>
                <c:pt idx="4">
                  <c:v>4100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8E3-4D1F-B8A0-D1E08198E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9272289"/>
        <c:axId val="1069653346"/>
      </c:barChart>
      <c:catAx>
        <c:axId val="12492722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9653346"/>
        <c:crosses val="autoZero"/>
        <c:auto val="1"/>
        <c:lblAlgn val="ctr"/>
        <c:lblOffset val="100"/>
        <c:noMultiLvlLbl val="1"/>
      </c:catAx>
      <c:valAx>
        <c:axId val="10696533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4927228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May!$J$2:$J$8</c:f>
              <c:strCache>
                <c:ptCount val="7"/>
                <c:pt idx="0">
                  <c:v>North</c:v>
                </c:pt>
                <c:pt idx="2">
                  <c:v>South</c:v>
                </c:pt>
                <c:pt idx="4">
                  <c:v>East</c:v>
                </c:pt>
                <c:pt idx="6">
                  <c:v>West</c:v>
                </c:pt>
              </c:strCache>
            </c:strRef>
          </c:cat>
          <c:val>
            <c:numRef>
              <c:f>May!$K$2:$K$8</c:f>
              <c:numCache>
                <c:formatCode>General</c:formatCode>
                <c:ptCount val="7"/>
                <c:pt idx="0">
                  <c:v>4300</c:v>
                </c:pt>
                <c:pt idx="2">
                  <c:v>3200</c:v>
                </c:pt>
                <c:pt idx="4">
                  <c:v>2000</c:v>
                </c:pt>
                <c:pt idx="6">
                  <c:v>1500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E97-4C6A-8596-6EED9B79F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5225865"/>
        <c:axId val="1004038288"/>
      </c:barChart>
      <c:catAx>
        <c:axId val="1545225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04038288"/>
        <c:crosses val="autoZero"/>
        <c:auto val="1"/>
        <c:lblAlgn val="ctr"/>
        <c:lblOffset val="100"/>
        <c:noMultiLvlLbl val="1"/>
      </c:catAx>
      <c:valAx>
        <c:axId val="10040382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52258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Jun!$H$2:$H$6</c:f>
              <c:strCache>
                <c:ptCount val="5"/>
                <c:pt idx="0">
                  <c:v>Electronics</c:v>
                </c:pt>
                <c:pt idx="2">
                  <c:v>Clothing</c:v>
                </c:pt>
                <c:pt idx="4">
                  <c:v>Furniture</c:v>
                </c:pt>
              </c:strCache>
            </c:strRef>
          </c:cat>
          <c:val>
            <c:numRef>
              <c:f>Jun!$I$2:$I$6</c:f>
              <c:numCache>
                <c:formatCode>General</c:formatCode>
                <c:ptCount val="5"/>
                <c:pt idx="0">
                  <c:v>5050</c:v>
                </c:pt>
                <c:pt idx="2">
                  <c:v>2100</c:v>
                </c:pt>
                <c:pt idx="4">
                  <c:v>3950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074-4E3E-9ADF-A5F4731D1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0906153"/>
        <c:axId val="2076888309"/>
      </c:barChart>
      <c:catAx>
        <c:axId val="1270906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6888309"/>
        <c:crosses val="autoZero"/>
        <c:auto val="1"/>
        <c:lblAlgn val="ctr"/>
        <c:lblOffset val="100"/>
        <c:noMultiLvlLbl val="1"/>
      </c:catAx>
      <c:valAx>
        <c:axId val="20768883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090615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Jun!$J$2:$J$8</c:f>
              <c:strCache>
                <c:ptCount val="7"/>
                <c:pt idx="0">
                  <c:v>North</c:v>
                </c:pt>
                <c:pt idx="2">
                  <c:v>South</c:v>
                </c:pt>
                <c:pt idx="4">
                  <c:v>East</c:v>
                </c:pt>
                <c:pt idx="6">
                  <c:v>West</c:v>
                </c:pt>
              </c:strCache>
            </c:strRef>
          </c:cat>
          <c:val>
            <c:numRef>
              <c:f>Jun!$K$2:$K$8</c:f>
              <c:numCache>
                <c:formatCode>General</c:formatCode>
                <c:ptCount val="7"/>
                <c:pt idx="0">
                  <c:v>2600</c:v>
                </c:pt>
                <c:pt idx="2">
                  <c:v>3550</c:v>
                </c:pt>
                <c:pt idx="4">
                  <c:v>3300</c:v>
                </c:pt>
                <c:pt idx="6">
                  <c:v>1650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AE9-4769-A24A-63E296398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4640751"/>
        <c:axId val="657080658"/>
      </c:barChart>
      <c:catAx>
        <c:axId val="1824640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7080658"/>
        <c:crosses val="autoZero"/>
        <c:auto val="1"/>
        <c:lblAlgn val="ctr"/>
        <c:lblOffset val="100"/>
        <c:noMultiLvlLbl val="1"/>
      </c:catAx>
      <c:valAx>
        <c:axId val="657080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2464075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Jul!$H$2:$H$6</c:f>
              <c:strCache>
                <c:ptCount val="5"/>
                <c:pt idx="0">
                  <c:v>Electronics</c:v>
                </c:pt>
                <c:pt idx="2">
                  <c:v>Clothing</c:v>
                </c:pt>
                <c:pt idx="4">
                  <c:v>Furniture</c:v>
                </c:pt>
              </c:strCache>
            </c:strRef>
          </c:cat>
          <c:val>
            <c:numRef>
              <c:f>Jul!$I$2:$I$6</c:f>
              <c:numCache>
                <c:formatCode>General</c:formatCode>
                <c:ptCount val="5"/>
                <c:pt idx="0">
                  <c:v>5300</c:v>
                </c:pt>
                <c:pt idx="2">
                  <c:v>2050</c:v>
                </c:pt>
                <c:pt idx="4">
                  <c:v>4050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596-491B-8E86-8D0AE539E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309438"/>
        <c:axId val="1447479126"/>
      </c:barChart>
      <c:catAx>
        <c:axId val="245309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7479126"/>
        <c:crosses val="autoZero"/>
        <c:auto val="1"/>
        <c:lblAlgn val="ctr"/>
        <c:lblOffset val="100"/>
        <c:noMultiLvlLbl val="1"/>
      </c:catAx>
      <c:valAx>
        <c:axId val="14474791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53094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Jul!$J$2:$J$8</c:f>
              <c:strCache>
                <c:ptCount val="7"/>
                <c:pt idx="0">
                  <c:v>North</c:v>
                </c:pt>
                <c:pt idx="2">
                  <c:v>South</c:v>
                </c:pt>
                <c:pt idx="4">
                  <c:v>East</c:v>
                </c:pt>
                <c:pt idx="6">
                  <c:v>West</c:v>
                </c:pt>
              </c:strCache>
            </c:strRef>
          </c:cat>
          <c:val>
            <c:numRef>
              <c:f>Jul!$K$2:$K$8</c:f>
              <c:numCache>
                <c:formatCode>General</c:formatCode>
                <c:ptCount val="7"/>
                <c:pt idx="0">
                  <c:v>2700</c:v>
                </c:pt>
                <c:pt idx="2">
                  <c:v>3450</c:v>
                </c:pt>
                <c:pt idx="4">
                  <c:v>3500</c:v>
                </c:pt>
                <c:pt idx="6">
                  <c:v>1750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1AB-4678-BA76-7DD392C92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038401"/>
        <c:axId val="1129088237"/>
      </c:barChart>
      <c:catAx>
        <c:axId val="6220384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9088237"/>
        <c:crosses val="autoZero"/>
        <c:auto val="1"/>
        <c:lblAlgn val="ctr"/>
        <c:lblOffset val="100"/>
        <c:noMultiLvlLbl val="1"/>
      </c:catAx>
      <c:valAx>
        <c:axId val="11290882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20384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Aug!$H$2:$H$6</c:f>
              <c:strCache>
                <c:ptCount val="5"/>
                <c:pt idx="0">
                  <c:v>Electronics</c:v>
                </c:pt>
                <c:pt idx="2">
                  <c:v>Clothing</c:v>
                </c:pt>
                <c:pt idx="4">
                  <c:v>Furniture</c:v>
                </c:pt>
              </c:strCache>
            </c:strRef>
          </c:cat>
          <c:val>
            <c:numRef>
              <c:f>Aug!$I$2:$I$6</c:f>
              <c:numCache>
                <c:formatCode>General</c:formatCode>
                <c:ptCount val="5"/>
                <c:pt idx="0">
                  <c:v>5400</c:v>
                </c:pt>
                <c:pt idx="2">
                  <c:v>2200</c:v>
                </c:pt>
                <c:pt idx="4">
                  <c:v>4300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975-4E11-A1FF-F8FE2AF00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5134904"/>
        <c:axId val="645193507"/>
      </c:barChart>
      <c:catAx>
        <c:axId val="1845134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5193507"/>
        <c:crosses val="autoZero"/>
        <c:auto val="1"/>
        <c:lblAlgn val="ctr"/>
        <c:lblOffset val="100"/>
        <c:noMultiLvlLbl val="1"/>
      </c:catAx>
      <c:valAx>
        <c:axId val="645193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51349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Aug!$J$2:$J$8</c:f>
              <c:strCache>
                <c:ptCount val="7"/>
                <c:pt idx="0">
                  <c:v>North</c:v>
                </c:pt>
                <c:pt idx="2">
                  <c:v>South</c:v>
                </c:pt>
                <c:pt idx="4">
                  <c:v>East</c:v>
                </c:pt>
                <c:pt idx="6">
                  <c:v>West</c:v>
                </c:pt>
              </c:strCache>
            </c:strRef>
          </c:cat>
          <c:val>
            <c:numRef>
              <c:f>Aug!$K$2:$K$8</c:f>
              <c:numCache>
                <c:formatCode>General</c:formatCode>
                <c:ptCount val="7"/>
                <c:pt idx="0">
                  <c:v>2850</c:v>
                </c:pt>
                <c:pt idx="2">
                  <c:v>3700</c:v>
                </c:pt>
                <c:pt idx="4">
                  <c:v>3600</c:v>
                </c:pt>
                <c:pt idx="6">
                  <c:v>1750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6D5-460E-9463-BEDDDC909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4539406"/>
        <c:axId val="1188644451"/>
      </c:barChart>
      <c:catAx>
        <c:axId val="8345394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88644451"/>
        <c:crosses val="autoZero"/>
        <c:auto val="1"/>
        <c:lblAlgn val="ctr"/>
        <c:lblOffset val="100"/>
        <c:noMultiLvlLbl val="1"/>
      </c:catAx>
      <c:valAx>
        <c:axId val="1188644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45394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Sept!$H$2:$H$6</c:f>
              <c:strCache>
                <c:ptCount val="5"/>
                <c:pt idx="0">
                  <c:v>Electronics</c:v>
                </c:pt>
                <c:pt idx="2">
                  <c:v>Clothing</c:v>
                </c:pt>
                <c:pt idx="4">
                  <c:v>Furniture</c:v>
                </c:pt>
              </c:strCache>
            </c:strRef>
          </c:cat>
          <c:val>
            <c:numRef>
              <c:f>Sept!$I$2:$I$6</c:f>
              <c:numCache>
                <c:formatCode>General</c:formatCode>
                <c:ptCount val="5"/>
                <c:pt idx="0">
                  <c:v>5550</c:v>
                </c:pt>
                <c:pt idx="2">
                  <c:v>2150</c:v>
                </c:pt>
                <c:pt idx="4">
                  <c:v>4200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2AB-41AC-BE69-33EEC7A0D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0686519"/>
        <c:axId val="1694441109"/>
      </c:barChart>
      <c:catAx>
        <c:axId val="1310686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94441109"/>
        <c:crosses val="autoZero"/>
        <c:auto val="1"/>
        <c:lblAlgn val="ctr"/>
        <c:lblOffset val="100"/>
        <c:noMultiLvlLbl val="1"/>
      </c:catAx>
      <c:valAx>
        <c:axId val="16944411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1068651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Sept!$J$2:$J$8</c:f>
              <c:strCache>
                <c:ptCount val="7"/>
                <c:pt idx="0">
                  <c:v>North</c:v>
                </c:pt>
                <c:pt idx="2">
                  <c:v>South</c:v>
                </c:pt>
                <c:pt idx="4">
                  <c:v>East</c:v>
                </c:pt>
                <c:pt idx="6">
                  <c:v>West</c:v>
                </c:pt>
              </c:strCache>
            </c:strRef>
          </c:cat>
          <c:val>
            <c:numRef>
              <c:f>Sept!$K$2:$K$8</c:f>
              <c:numCache>
                <c:formatCode>General</c:formatCode>
                <c:ptCount val="7"/>
                <c:pt idx="0">
                  <c:v>2850</c:v>
                </c:pt>
                <c:pt idx="2">
                  <c:v>3550</c:v>
                </c:pt>
                <c:pt idx="4">
                  <c:v>3700</c:v>
                </c:pt>
                <c:pt idx="6">
                  <c:v>1800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5CE-4F5F-83EC-B4908DB89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7355367"/>
        <c:axId val="1559638236"/>
      </c:barChart>
      <c:catAx>
        <c:axId val="797355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9638236"/>
        <c:crosses val="autoZero"/>
        <c:auto val="1"/>
        <c:lblAlgn val="ctr"/>
        <c:lblOffset val="100"/>
        <c:noMultiLvlLbl val="1"/>
      </c:catAx>
      <c:valAx>
        <c:axId val="1559638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73553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Oct!$H$2:$H$6</c:f>
              <c:strCache>
                <c:ptCount val="5"/>
                <c:pt idx="0">
                  <c:v>Electronics</c:v>
                </c:pt>
                <c:pt idx="2">
                  <c:v>Clothing</c:v>
                </c:pt>
                <c:pt idx="4">
                  <c:v>Furniture</c:v>
                </c:pt>
              </c:strCache>
            </c:strRef>
          </c:cat>
          <c:val>
            <c:numRef>
              <c:f>Oct!$I$2:$I$6</c:f>
              <c:numCache>
                <c:formatCode>General</c:formatCode>
                <c:ptCount val="5"/>
                <c:pt idx="0">
                  <c:v>5550</c:v>
                </c:pt>
                <c:pt idx="2">
                  <c:v>2300</c:v>
                </c:pt>
                <c:pt idx="4">
                  <c:v>4550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0A9-470F-9F62-D9FB17182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2949276"/>
        <c:axId val="1196092998"/>
      </c:barChart>
      <c:catAx>
        <c:axId val="5229492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6092998"/>
        <c:crosses val="autoZero"/>
        <c:auto val="1"/>
        <c:lblAlgn val="ctr"/>
        <c:lblOffset val="100"/>
        <c:noMultiLvlLbl val="1"/>
      </c:catAx>
      <c:valAx>
        <c:axId val="11960929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29492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Oct!$J$2:$J$8</c:f>
              <c:strCache>
                <c:ptCount val="7"/>
                <c:pt idx="0">
                  <c:v>North</c:v>
                </c:pt>
                <c:pt idx="2">
                  <c:v>South</c:v>
                </c:pt>
                <c:pt idx="4">
                  <c:v>East</c:v>
                </c:pt>
                <c:pt idx="6">
                  <c:v>West</c:v>
                </c:pt>
              </c:strCache>
            </c:strRef>
          </c:cat>
          <c:val>
            <c:numRef>
              <c:f>Oct!$K$2:$K$8</c:f>
              <c:numCache>
                <c:formatCode>General</c:formatCode>
                <c:ptCount val="7"/>
                <c:pt idx="0">
                  <c:v>2950</c:v>
                </c:pt>
                <c:pt idx="2">
                  <c:v>3900</c:v>
                </c:pt>
                <c:pt idx="4">
                  <c:v>3800</c:v>
                </c:pt>
                <c:pt idx="6">
                  <c:v>1750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CBC-4B08-95C0-7137528E6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358679"/>
        <c:axId val="738623640"/>
      </c:barChart>
      <c:catAx>
        <c:axId val="91358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8623640"/>
        <c:crosses val="autoZero"/>
        <c:auto val="1"/>
        <c:lblAlgn val="ctr"/>
        <c:lblOffset val="100"/>
        <c:noMultiLvlLbl val="1"/>
      </c:catAx>
      <c:valAx>
        <c:axId val="7386236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3586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Nov!$H$2:$H$6</c:f>
              <c:strCache>
                <c:ptCount val="5"/>
                <c:pt idx="0">
                  <c:v>Electronics</c:v>
                </c:pt>
                <c:pt idx="2">
                  <c:v>Clothing</c:v>
                </c:pt>
                <c:pt idx="4">
                  <c:v>Furniture</c:v>
                </c:pt>
              </c:strCache>
            </c:strRef>
          </c:cat>
          <c:val>
            <c:numRef>
              <c:f>Nov!$I$2:$I$6</c:f>
              <c:numCache>
                <c:formatCode>General</c:formatCode>
                <c:ptCount val="5"/>
                <c:pt idx="0">
                  <c:v>5350</c:v>
                </c:pt>
                <c:pt idx="2">
                  <c:v>2150</c:v>
                </c:pt>
                <c:pt idx="4">
                  <c:v>4100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15A-4D82-B608-3FC72224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314943"/>
        <c:axId val="1295674619"/>
      </c:barChart>
      <c:catAx>
        <c:axId val="233314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5674619"/>
        <c:crosses val="autoZero"/>
        <c:auto val="1"/>
        <c:lblAlgn val="ctr"/>
        <c:lblOffset val="100"/>
        <c:noMultiLvlLbl val="1"/>
      </c:catAx>
      <c:valAx>
        <c:axId val="12956746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331494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Nov!$J$2:$J$8</c:f>
              <c:strCache>
                <c:ptCount val="7"/>
                <c:pt idx="0">
                  <c:v>North</c:v>
                </c:pt>
                <c:pt idx="2">
                  <c:v>south</c:v>
                </c:pt>
                <c:pt idx="4">
                  <c:v>West</c:v>
                </c:pt>
                <c:pt idx="6">
                  <c:v>East</c:v>
                </c:pt>
              </c:strCache>
            </c:strRef>
          </c:cat>
          <c:val>
            <c:numRef>
              <c:f>Nov!$K$2:$K$8</c:f>
              <c:numCache>
                <c:formatCode>General</c:formatCode>
                <c:ptCount val="7"/>
                <c:pt idx="0">
                  <c:v>2700</c:v>
                </c:pt>
                <c:pt idx="2">
                  <c:v>3550</c:v>
                </c:pt>
                <c:pt idx="4">
                  <c:v>1800</c:v>
                </c:pt>
                <c:pt idx="6">
                  <c:v>3550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1BF-4CF2-999E-770FB4829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9947537"/>
        <c:axId val="4102786"/>
      </c:barChart>
      <c:catAx>
        <c:axId val="1249947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02786"/>
        <c:crosses val="autoZero"/>
        <c:auto val="1"/>
        <c:lblAlgn val="ctr"/>
        <c:lblOffset val="100"/>
        <c:noMultiLvlLbl val="1"/>
      </c:catAx>
      <c:valAx>
        <c:axId val="4102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4994753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Dec!$H$2:$H$6</c:f>
              <c:strCache>
                <c:ptCount val="5"/>
                <c:pt idx="0">
                  <c:v>Electronics</c:v>
                </c:pt>
                <c:pt idx="2">
                  <c:v>Clothing</c:v>
                </c:pt>
                <c:pt idx="4">
                  <c:v>Furniture</c:v>
                </c:pt>
              </c:strCache>
            </c:strRef>
          </c:cat>
          <c:val>
            <c:numRef>
              <c:f>Dec!$I$2:$I$6</c:f>
              <c:numCache>
                <c:formatCode>General</c:formatCode>
                <c:ptCount val="5"/>
                <c:pt idx="0">
                  <c:v>5500</c:v>
                </c:pt>
                <c:pt idx="2">
                  <c:v>2200</c:v>
                </c:pt>
                <c:pt idx="4">
                  <c:v>4450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405-4102-B034-E02221F1D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2707939"/>
        <c:axId val="890061878"/>
      </c:barChart>
      <c:catAx>
        <c:axId val="2042707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0061878"/>
        <c:crosses val="autoZero"/>
        <c:auto val="1"/>
        <c:lblAlgn val="ctr"/>
        <c:lblOffset val="100"/>
        <c:noMultiLvlLbl val="1"/>
      </c:catAx>
      <c:valAx>
        <c:axId val="890061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27079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Dec!$J$2:$J$8</c:f>
              <c:strCache>
                <c:ptCount val="7"/>
                <c:pt idx="0">
                  <c:v>North</c:v>
                </c:pt>
                <c:pt idx="2">
                  <c:v>South</c:v>
                </c:pt>
                <c:pt idx="4">
                  <c:v>East</c:v>
                </c:pt>
                <c:pt idx="6">
                  <c:v>West</c:v>
                </c:pt>
              </c:strCache>
            </c:strRef>
          </c:cat>
          <c:val>
            <c:numRef>
              <c:f>Dec!$K$2:$K$8</c:f>
              <c:numCache>
                <c:formatCode>General</c:formatCode>
                <c:ptCount val="7"/>
                <c:pt idx="0">
                  <c:v>2850</c:v>
                </c:pt>
                <c:pt idx="2">
                  <c:v>3700</c:v>
                </c:pt>
                <c:pt idx="4">
                  <c:v>3850</c:v>
                </c:pt>
                <c:pt idx="6">
                  <c:v>1750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2C9-4583-B53E-BFDE1D125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7556032"/>
        <c:axId val="268530580"/>
      </c:barChart>
      <c:catAx>
        <c:axId val="747556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8530580"/>
        <c:crosses val="autoZero"/>
        <c:auto val="1"/>
        <c:lblAlgn val="ctr"/>
        <c:lblOffset val="100"/>
        <c:noMultiLvlLbl val="1"/>
      </c:catAx>
      <c:valAx>
        <c:axId val="268530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75560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'Annual Sales'!$B$2:$B$13</c:f>
              <c:strCache>
                <c:ptCount val="12"/>
                <c:pt idx="0">
                  <c:v>January</c:v>
                </c:pt>
                <c:pt idx="1">
                  <c:v>Febraury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'Annual Sales'!$C$2:$C$13</c:f>
              <c:numCache>
                <c:formatCode>General</c:formatCode>
                <c:ptCount val="12"/>
                <c:pt idx="0">
                  <c:v>6900</c:v>
                </c:pt>
                <c:pt idx="1">
                  <c:v>3400</c:v>
                </c:pt>
                <c:pt idx="2">
                  <c:v>4600</c:v>
                </c:pt>
                <c:pt idx="3">
                  <c:v>3800</c:v>
                </c:pt>
                <c:pt idx="4">
                  <c:v>4800</c:v>
                </c:pt>
                <c:pt idx="5">
                  <c:v>5050</c:v>
                </c:pt>
                <c:pt idx="6">
                  <c:v>5300</c:v>
                </c:pt>
                <c:pt idx="7">
                  <c:v>5400</c:v>
                </c:pt>
                <c:pt idx="8">
                  <c:v>5550</c:v>
                </c:pt>
                <c:pt idx="9">
                  <c:v>5550</c:v>
                </c:pt>
                <c:pt idx="10">
                  <c:v>5350</c:v>
                </c:pt>
                <c:pt idx="11">
                  <c:v>5500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3DE-4592-9FEF-C9E12E50A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6412305"/>
        <c:axId val="1972049450"/>
      </c:barChart>
      <c:catAx>
        <c:axId val="12064123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2049450"/>
        <c:crosses val="autoZero"/>
        <c:auto val="1"/>
        <c:lblAlgn val="ctr"/>
        <c:lblOffset val="100"/>
        <c:noMultiLvlLbl val="1"/>
      </c:catAx>
      <c:valAx>
        <c:axId val="1972049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64123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'Annual Sales'!$B$49:$B$51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FURNITURE</c:v>
                </c:pt>
              </c:strCache>
            </c:strRef>
          </c:cat>
          <c:val>
            <c:numRef>
              <c:f>'Annual Sales'!$C$49:$C$51</c:f>
              <c:numCache>
                <c:formatCode>General</c:formatCode>
                <c:ptCount val="3"/>
                <c:pt idx="0">
                  <c:v>61200</c:v>
                </c:pt>
                <c:pt idx="1">
                  <c:v>26750</c:v>
                </c:pt>
                <c:pt idx="2">
                  <c:v>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E86-4EE8-9E57-43440E9D8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7947373"/>
        <c:axId val="1661238523"/>
      </c:barChart>
      <c:catAx>
        <c:axId val="19579473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61238523"/>
        <c:crosses val="autoZero"/>
        <c:auto val="1"/>
        <c:lblAlgn val="ctr"/>
        <c:lblOffset val="100"/>
        <c:noMultiLvlLbl val="1"/>
      </c:catAx>
      <c:valAx>
        <c:axId val="1661238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79473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'Annual Sales'!$E$49:$E$51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</c:strCache>
            </c:strRef>
          </c:cat>
          <c:val>
            <c:numRef>
              <c:f>'Annual Sales'!$F$49:$F$51</c:f>
              <c:numCache>
                <c:formatCode>General</c:formatCode>
                <c:ptCount val="3"/>
                <c:pt idx="0">
                  <c:v>39500</c:v>
                </c:pt>
                <c:pt idx="1">
                  <c:v>37400</c:v>
                </c:pt>
                <c:pt idx="2">
                  <c:v>37200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0D-4450-9F09-CAE7609AE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7132776"/>
        <c:axId val="1571678020"/>
      </c:barChart>
      <c:catAx>
        <c:axId val="1317132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1678020"/>
        <c:crosses val="autoZero"/>
        <c:auto val="1"/>
        <c:lblAlgn val="ctr"/>
        <c:lblOffset val="100"/>
        <c:noMultiLvlLbl val="1"/>
      </c:catAx>
      <c:valAx>
        <c:axId val="1571678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171327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13</xdr:row>
      <xdr:rowOff>95250</xdr:rowOff>
    </xdr:from>
    <xdr:ext cx="3629025" cy="2247900"/>
    <xdr:graphicFrame macro="">
      <xdr:nvGraphicFramePr>
        <xdr:cNvPr id="1755059999" name="Chart 1" title="Chart">
          <a:extLst>
            <a:ext uri="{FF2B5EF4-FFF2-40B4-BE49-F238E27FC236}">
              <a16:creationId xmlns:a16="http://schemas.microsoft.com/office/drawing/2014/main" id="{00000000-0008-0000-0000-00001F179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76200</xdr:colOff>
      <xdr:row>13</xdr:row>
      <xdr:rowOff>95250</xdr:rowOff>
    </xdr:from>
    <xdr:ext cx="4410075" cy="2247900"/>
    <xdr:graphicFrame macro="">
      <xdr:nvGraphicFramePr>
        <xdr:cNvPr id="1948558948" name="Chart 2" title="Chart">
          <a:extLst>
            <a:ext uri="{FF2B5EF4-FFF2-40B4-BE49-F238E27FC236}">
              <a16:creationId xmlns:a16="http://schemas.microsoft.com/office/drawing/2014/main" id="{00000000-0008-0000-0000-000064A62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13</xdr:row>
      <xdr:rowOff>47625</xdr:rowOff>
    </xdr:from>
    <xdr:ext cx="3305175" cy="2190750"/>
    <xdr:graphicFrame macro="">
      <xdr:nvGraphicFramePr>
        <xdr:cNvPr id="1912332192" name="Chart 3" title="Chart">
          <a:extLst>
            <a:ext uri="{FF2B5EF4-FFF2-40B4-BE49-F238E27FC236}">
              <a16:creationId xmlns:a16="http://schemas.microsoft.com/office/drawing/2014/main" id="{00000000-0008-0000-0100-0000A0DFF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457200</xdr:colOff>
      <xdr:row>13</xdr:row>
      <xdr:rowOff>47625</xdr:rowOff>
    </xdr:from>
    <xdr:ext cx="3114675" cy="2190750"/>
    <xdr:graphicFrame macro="">
      <xdr:nvGraphicFramePr>
        <xdr:cNvPr id="1740971498" name="Chart 4" title="Chart">
          <a:extLst>
            <a:ext uri="{FF2B5EF4-FFF2-40B4-BE49-F238E27FC236}">
              <a16:creationId xmlns:a16="http://schemas.microsoft.com/office/drawing/2014/main" id="{00000000-0008-0000-0100-0000EA1DC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14</xdr:row>
      <xdr:rowOff>142875</xdr:rowOff>
    </xdr:from>
    <xdr:ext cx="3810000" cy="2324100"/>
    <xdr:graphicFrame macro="">
      <xdr:nvGraphicFramePr>
        <xdr:cNvPr id="606830767" name="Chart 5" title="Chart">
          <a:extLst>
            <a:ext uri="{FF2B5EF4-FFF2-40B4-BE49-F238E27FC236}">
              <a16:creationId xmlns:a16="http://schemas.microsoft.com/office/drawing/2014/main" id="{00000000-0008-0000-0200-0000AF802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546100</xdr:colOff>
      <xdr:row>14</xdr:row>
      <xdr:rowOff>133351</xdr:rowOff>
    </xdr:from>
    <xdr:ext cx="3660775" cy="2333624"/>
    <xdr:graphicFrame macro="">
      <xdr:nvGraphicFramePr>
        <xdr:cNvPr id="209839182" name="Chart 6" title="Chart">
          <a:extLst>
            <a:ext uri="{FF2B5EF4-FFF2-40B4-BE49-F238E27FC236}">
              <a16:creationId xmlns:a16="http://schemas.microsoft.com/office/drawing/2014/main" id="{00000000-0008-0000-0200-00004EE48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13</xdr:row>
      <xdr:rowOff>28575</xdr:rowOff>
    </xdr:from>
    <xdr:ext cx="4019550" cy="2181225"/>
    <xdr:graphicFrame macro="">
      <xdr:nvGraphicFramePr>
        <xdr:cNvPr id="1476852549" name="Chart 7" title="Chart">
          <a:extLst>
            <a:ext uri="{FF2B5EF4-FFF2-40B4-BE49-F238E27FC236}">
              <a16:creationId xmlns:a16="http://schemas.microsoft.com/office/drawing/2014/main" id="{00000000-0008-0000-0300-000045FB0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647700</xdr:colOff>
      <xdr:row>13</xdr:row>
      <xdr:rowOff>28575</xdr:rowOff>
    </xdr:from>
    <xdr:ext cx="3962400" cy="2181225"/>
    <xdr:graphicFrame macro="">
      <xdr:nvGraphicFramePr>
        <xdr:cNvPr id="1160264086" name="Chart 8" title="Chart">
          <a:extLst>
            <a:ext uri="{FF2B5EF4-FFF2-40B4-BE49-F238E27FC236}">
              <a16:creationId xmlns:a16="http://schemas.microsoft.com/office/drawing/2014/main" id="{00000000-0008-0000-0300-000096392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11</xdr:row>
      <xdr:rowOff>114300</xdr:rowOff>
    </xdr:from>
    <xdr:ext cx="3781425" cy="2295525"/>
    <xdr:graphicFrame macro="">
      <xdr:nvGraphicFramePr>
        <xdr:cNvPr id="1882693548" name="Chart 9" title="Chart">
          <a:extLst>
            <a:ext uri="{FF2B5EF4-FFF2-40B4-BE49-F238E27FC236}">
              <a16:creationId xmlns:a16="http://schemas.microsoft.com/office/drawing/2014/main" id="{00000000-0008-0000-0400-0000AC9F3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590550</xdr:colOff>
      <xdr:row>11</xdr:row>
      <xdr:rowOff>114300</xdr:rowOff>
    </xdr:from>
    <xdr:ext cx="3838575" cy="2295525"/>
    <xdr:graphicFrame macro="">
      <xdr:nvGraphicFramePr>
        <xdr:cNvPr id="1330464012" name="Chart 10" title="Chart">
          <a:extLst>
            <a:ext uri="{FF2B5EF4-FFF2-40B4-BE49-F238E27FC236}">
              <a16:creationId xmlns:a16="http://schemas.microsoft.com/office/drawing/2014/main" id="{00000000-0008-0000-0400-00000C454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12</xdr:row>
      <xdr:rowOff>66675</xdr:rowOff>
    </xdr:from>
    <xdr:ext cx="4257675" cy="2533650"/>
    <xdr:graphicFrame macro="">
      <xdr:nvGraphicFramePr>
        <xdr:cNvPr id="1841156994" name="Chart 11" title="Chart">
          <a:extLst>
            <a:ext uri="{FF2B5EF4-FFF2-40B4-BE49-F238E27FC236}">
              <a16:creationId xmlns:a16="http://schemas.microsoft.com/office/drawing/2014/main" id="{00000000-0008-0000-0500-000082D3B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228600</xdr:colOff>
      <xdr:row>12</xdr:row>
      <xdr:rowOff>66675</xdr:rowOff>
    </xdr:from>
    <xdr:ext cx="4343400" cy="2533650"/>
    <xdr:graphicFrame macro="">
      <xdr:nvGraphicFramePr>
        <xdr:cNvPr id="1766204505" name="Chart 12" title="Chart">
          <a:extLst>
            <a:ext uri="{FF2B5EF4-FFF2-40B4-BE49-F238E27FC236}">
              <a16:creationId xmlns:a16="http://schemas.microsoft.com/office/drawing/2014/main" id="{00000000-0008-0000-0500-000059244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12</xdr:row>
      <xdr:rowOff>180975</xdr:rowOff>
    </xdr:from>
    <xdr:ext cx="4505325" cy="2514600"/>
    <xdr:graphicFrame macro="">
      <xdr:nvGraphicFramePr>
        <xdr:cNvPr id="1543478048" name="Chart 13" title="Chart">
          <a:extLst>
            <a:ext uri="{FF2B5EF4-FFF2-40B4-BE49-F238E27FC236}">
              <a16:creationId xmlns:a16="http://schemas.microsoft.com/office/drawing/2014/main" id="{00000000-0008-0000-0600-0000209BF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485775</xdr:colOff>
      <xdr:row>12</xdr:row>
      <xdr:rowOff>180975</xdr:rowOff>
    </xdr:from>
    <xdr:ext cx="4314825" cy="2514600"/>
    <xdr:graphicFrame macro="">
      <xdr:nvGraphicFramePr>
        <xdr:cNvPr id="103777651" name="Chart 14" title="Chart">
          <a:extLst>
            <a:ext uri="{FF2B5EF4-FFF2-40B4-BE49-F238E27FC236}">
              <a16:creationId xmlns:a16="http://schemas.microsoft.com/office/drawing/2014/main" id="{00000000-0008-0000-0600-000073852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12</xdr:row>
      <xdr:rowOff>180975</xdr:rowOff>
    </xdr:from>
    <xdr:ext cx="3933825" cy="2457450"/>
    <xdr:graphicFrame macro="">
      <xdr:nvGraphicFramePr>
        <xdr:cNvPr id="572450464" name="Chart 15" title="Chart">
          <a:extLst>
            <a:ext uri="{FF2B5EF4-FFF2-40B4-BE49-F238E27FC236}">
              <a16:creationId xmlns:a16="http://schemas.microsoft.com/office/drawing/2014/main" id="{00000000-0008-0000-0700-0000A0E61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104775</xdr:colOff>
      <xdr:row>12</xdr:row>
      <xdr:rowOff>180975</xdr:rowOff>
    </xdr:from>
    <xdr:ext cx="3981450" cy="2457450"/>
    <xdr:graphicFrame macro="">
      <xdr:nvGraphicFramePr>
        <xdr:cNvPr id="572720807" name="Chart 16" title="Chart">
          <a:extLst>
            <a:ext uri="{FF2B5EF4-FFF2-40B4-BE49-F238E27FC236}">
              <a16:creationId xmlns:a16="http://schemas.microsoft.com/office/drawing/2014/main" id="{00000000-0008-0000-0700-0000A7062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12</xdr:row>
      <xdr:rowOff>104775</xdr:rowOff>
    </xdr:from>
    <xdr:ext cx="3429000" cy="2295525"/>
    <xdr:graphicFrame macro="">
      <xdr:nvGraphicFramePr>
        <xdr:cNvPr id="1709775503" name="Chart 17" title="Chart">
          <a:extLst>
            <a:ext uri="{FF2B5EF4-FFF2-40B4-BE49-F238E27FC236}">
              <a16:creationId xmlns:a16="http://schemas.microsoft.com/office/drawing/2014/main" id="{00000000-0008-0000-0800-00008F1AE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295275</xdr:colOff>
      <xdr:row>12</xdr:row>
      <xdr:rowOff>104775</xdr:rowOff>
    </xdr:from>
    <xdr:ext cx="3257550" cy="2295525"/>
    <xdr:graphicFrame macro="">
      <xdr:nvGraphicFramePr>
        <xdr:cNvPr id="434951307" name="Chart 18" title="Chart">
          <a:extLst>
            <a:ext uri="{FF2B5EF4-FFF2-40B4-BE49-F238E27FC236}">
              <a16:creationId xmlns:a16="http://schemas.microsoft.com/office/drawing/2014/main" id="{00000000-0008-0000-0800-00008BD4E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12</xdr:row>
      <xdr:rowOff>161925</xdr:rowOff>
    </xdr:from>
    <xdr:ext cx="3771900" cy="2133600"/>
    <xdr:graphicFrame macro="">
      <xdr:nvGraphicFramePr>
        <xdr:cNvPr id="888056994" name="Chart 19" title="Chart">
          <a:extLst>
            <a:ext uri="{FF2B5EF4-FFF2-40B4-BE49-F238E27FC236}">
              <a16:creationId xmlns:a16="http://schemas.microsoft.com/office/drawing/2014/main" id="{00000000-0008-0000-0900-0000A2ACE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76200</xdr:colOff>
      <xdr:row>12</xdr:row>
      <xdr:rowOff>161925</xdr:rowOff>
    </xdr:from>
    <xdr:ext cx="3552825" cy="2133600"/>
    <xdr:graphicFrame macro="">
      <xdr:nvGraphicFramePr>
        <xdr:cNvPr id="1940809043" name="Chart 20" title="Chart">
          <a:extLst>
            <a:ext uri="{FF2B5EF4-FFF2-40B4-BE49-F238E27FC236}">
              <a16:creationId xmlns:a16="http://schemas.microsoft.com/office/drawing/2014/main" id="{00000000-0008-0000-0900-00005365A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12</xdr:row>
      <xdr:rowOff>38100</xdr:rowOff>
    </xdr:from>
    <xdr:ext cx="3838575" cy="2286000"/>
    <xdr:graphicFrame macro="">
      <xdr:nvGraphicFramePr>
        <xdr:cNvPr id="1896966379" name="Chart 21" title="Chart">
          <a:extLst>
            <a:ext uri="{FF2B5EF4-FFF2-40B4-BE49-F238E27FC236}">
              <a16:creationId xmlns:a16="http://schemas.microsoft.com/office/drawing/2014/main" id="{00000000-0008-0000-0A00-0000EB681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257175</xdr:colOff>
      <xdr:row>12</xdr:row>
      <xdr:rowOff>38100</xdr:rowOff>
    </xdr:from>
    <xdr:ext cx="4305300" cy="2238375"/>
    <xdr:graphicFrame macro="">
      <xdr:nvGraphicFramePr>
        <xdr:cNvPr id="88608245" name="Chart 22" title="Chart">
          <a:extLst>
            <a:ext uri="{FF2B5EF4-FFF2-40B4-BE49-F238E27FC236}">
              <a16:creationId xmlns:a16="http://schemas.microsoft.com/office/drawing/2014/main" id="{00000000-0008-0000-0A00-0000F50D4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12</xdr:row>
      <xdr:rowOff>38100</xdr:rowOff>
    </xdr:from>
    <xdr:ext cx="4552950" cy="2171700"/>
    <xdr:graphicFrame macro="">
      <xdr:nvGraphicFramePr>
        <xdr:cNvPr id="852588988" name="Chart 23" title="Chart">
          <a:extLst>
            <a:ext uri="{FF2B5EF4-FFF2-40B4-BE49-F238E27FC236}">
              <a16:creationId xmlns:a16="http://schemas.microsoft.com/office/drawing/2014/main" id="{00000000-0008-0000-0B00-0000BC79D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180975</xdr:colOff>
      <xdr:row>12</xdr:row>
      <xdr:rowOff>38100</xdr:rowOff>
    </xdr:from>
    <xdr:ext cx="3943350" cy="2171700"/>
    <xdr:graphicFrame macro="">
      <xdr:nvGraphicFramePr>
        <xdr:cNvPr id="1884888957" name="Chart 24" title="Chart">
          <a:extLst>
            <a:ext uri="{FF2B5EF4-FFF2-40B4-BE49-F238E27FC236}">
              <a16:creationId xmlns:a16="http://schemas.microsoft.com/office/drawing/2014/main" id="{00000000-0008-0000-0B00-00007D1F5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15</xdr:row>
      <xdr:rowOff>9525</xdr:rowOff>
    </xdr:from>
    <xdr:ext cx="4429125" cy="2143125"/>
    <xdr:graphicFrame macro="">
      <xdr:nvGraphicFramePr>
        <xdr:cNvPr id="40252343" name="Chart 25" title="Chart">
          <a:extLst>
            <a:ext uri="{FF2B5EF4-FFF2-40B4-BE49-F238E27FC236}">
              <a16:creationId xmlns:a16="http://schemas.microsoft.com/office/drawing/2014/main" id="{00000000-0008-0000-0C00-0000B7336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257175</xdr:colOff>
      <xdr:row>15</xdr:row>
      <xdr:rowOff>19050</xdr:rowOff>
    </xdr:from>
    <xdr:ext cx="4305300" cy="2143125"/>
    <xdr:graphicFrame macro="">
      <xdr:nvGraphicFramePr>
        <xdr:cNvPr id="1601986377" name="Chart 26" title="Chart">
          <a:extLst>
            <a:ext uri="{FF2B5EF4-FFF2-40B4-BE49-F238E27FC236}">
              <a16:creationId xmlns:a16="http://schemas.microsoft.com/office/drawing/2014/main" id="{00000000-0008-0000-0C00-0000495F7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190500</xdr:colOff>
      <xdr:row>29</xdr:row>
      <xdr:rowOff>28575</xdr:rowOff>
    </xdr:from>
    <xdr:ext cx="4219575" cy="2143125"/>
    <xdr:graphicFrame macro="">
      <xdr:nvGraphicFramePr>
        <xdr:cNvPr id="115753108" name="Chart 27" title="Chart">
          <a:extLst>
            <a:ext uri="{FF2B5EF4-FFF2-40B4-BE49-F238E27FC236}">
              <a16:creationId xmlns:a16="http://schemas.microsoft.com/office/drawing/2014/main" id="{00000000-0008-0000-0C00-00009440E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http://seria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/>
  </sheetViews>
  <sheetFormatPr defaultColWidth="12.6328125" defaultRowHeight="15" customHeight="1"/>
  <cols>
    <col min="1" max="2" width="8.6328125" customWidth="1"/>
    <col min="3" max="3" width="11.26953125" customWidth="1"/>
    <col min="4" max="6" width="8.6328125" customWidth="1"/>
    <col min="7" max="7" width="12.453125" customWidth="1"/>
    <col min="8" max="9" width="19.36328125" customWidth="1"/>
    <col min="10" max="11" width="12.453125" customWidth="1"/>
    <col min="12" max="28" width="8.6328125" customWidth="1"/>
  </cols>
  <sheetData>
    <row r="1" spans="1:1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</row>
    <row r="2" spans="1:11" ht="19.5" customHeight="1">
      <c r="A2" s="5">
        <v>101</v>
      </c>
      <c r="B2" s="6">
        <v>44929</v>
      </c>
      <c r="C2" s="7" t="s">
        <v>10</v>
      </c>
      <c r="D2" s="7">
        <v>1200</v>
      </c>
      <c r="E2" s="7" t="s">
        <v>11</v>
      </c>
      <c r="F2" s="8"/>
      <c r="G2" s="9">
        <f>SUM(D2:D11)</f>
        <v>9500</v>
      </c>
      <c r="H2" s="10" t="s">
        <v>10</v>
      </c>
      <c r="I2" s="11">
        <f>SUMIF(C2:C11,"ELECTRONICS",D2:D11)</f>
        <v>6900</v>
      </c>
      <c r="J2" s="12" t="s">
        <v>12</v>
      </c>
      <c r="K2" s="13">
        <f>SUMIF(E2:E11,"NORTH",D2:D11)</f>
        <v>2800</v>
      </c>
    </row>
    <row r="3" spans="1:11" ht="19.5" customHeight="1">
      <c r="A3" s="5">
        <v>102</v>
      </c>
      <c r="B3" s="6">
        <v>44931</v>
      </c>
      <c r="C3" s="7" t="s">
        <v>10</v>
      </c>
      <c r="D3" s="7">
        <v>500</v>
      </c>
      <c r="E3" s="7" t="s">
        <v>13</v>
      </c>
      <c r="F3" s="8"/>
      <c r="G3" s="8"/>
      <c r="H3" s="14"/>
      <c r="I3" s="15"/>
      <c r="J3" s="14"/>
      <c r="K3" s="14"/>
    </row>
    <row r="4" spans="1:11" ht="17.25" customHeight="1">
      <c r="A4" s="5">
        <v>103</v>
      </c>
      <c r="B4" s="6">
        <v>44933</v>
      </c>
      <c r="C4" s="7" t="s">
        <v>10</v>
      </c>
      <c r="D4" s="7">
        <v>1500</v>
      </c>
      <c r="E4" s="7" t="s">
        <v>14</v>
      </c>
      <c r="F4" s="8"/>
      <c r="G4" s="8"/>
      <c r="H4" s="10" t="s">
        <v>15</v>
      </c>
      <c r="I4" s="11">
        <f>SUMIF(C2:C11,"CLOTHING",D2:D11)</f>
        <v>900</v>
      </c>
      <c r="J4" s="12" t="s">
        <v>16</v>
      </c>
      <c r="K4" s="16">
        <f>SUMIF(E2:E11,"SOUTH",D2:D11)</f>
        <v>2100</v>
      </c>
    </row>
    <row r="5" spans="1:11" ht="14.25" customHeight="1">
      <c r="A5" s="5">
        <v>104</v>
      </c>
      <c r="B5" s="6">
        <v>44936</v>
      </c>
      <c r="C5" s="7" t="s">
        <v>10</v>
      </c>
      <c r="D5" s="7">
        <v>800</v>
      </c>
      <c r="E5" s="7" t="s">
        <v>17</v>
      </c>
      <c r="F5" s="8"/>
      <c r="G5" s="8"/>
      <c r="H5" s="14"/>
      <c r="I5" s="17"/>
      <c r="J5" s="14"/>
      <c r="K5" s="14"/>
    </row>
    <row r="6" spans="1:11" ht="14.25" customHeight="1">
      <c r="A6" s="5">
        <v>105</v>
      </c>
      <c r="B6" s="6">
        <v>44938</v>
      </c>
      <c r="C6" s="7" t="s">
        <v>15</v>
      </c>
      <c r="D6" s="7">
        <v>600</v>
      </c>
      <c r="E6" s="7" t="s">
        <v>11</v>
      </c>
      <c r="F6" s="8"/>
      <c r="G6" s="8"/>
      <c r="H6" s="10" t="s">
        <v>18</v>
      </c>
      <c r="I6" s="11">
        <f>SUMIF(C2:C11,"FURNITURE",D2:D11)</f>
        <v>1700</v>
      </c>
      <c r="J6" s="18" t="s">
        <v>19</v>
      </c>
      <c r="K6" s="16">
        <f>SUMIF(E2:E11,"EAST",D2:D11)</f>
        <v>1100</v>
      </c>
    </row>
    <row r="7" spans="1:11" ht="14.25" customHeight="1">
      <c r="A7" s="5">
        <v>106</v>
      </c>
      <c r="B7" s="6">
        <v>44941</v>
      </c>
      <c r="C7" s="7" t="s">
        <v>18</v>
      </c>
      <c r="D7" s="7">
        <v>700</v>
      </c>
      <c r="E7" s="7" t="s">
        <v>13</v>
      </c>
      <c r="F7" s="8"/>
      <c r="G7" s="8"/>
      <c r="H7" s="14"/>
      <c r="I7" s="14"/>
      <c r="J7" s="14"/>
      <c r="K7" s="14"/>
    </row>
    <row r="8" spans="1:11" ht="14.25" customHeight="1">
      <c r="A8" s="5">
        <v>107</v>
      </c>
      <c r="B8" s="6">
        <v>44944</v>
      </c>
      <c r="C8" s="7" t="s">
        <v>10</v>
      </c>
      <c r="D8" s="7">
        <v>2000</v>
      </c>
      <c r="E8" s="7" t="s">
        <v>14</v>
      </c>
      <c r="F8" s="8"/>
      <c r="G8" s="8"/>
      <c r="H8" s="19"/>
      <c r="I8" s="19"/>
      <c r="J8" s="18" t="s">
        <v>20</v>
      </c>
      <c r="K8" s="16">
        <f>SUMIF(E2:E11,"WEST",D2:D11)</f>
        <v>3500</v>
      </c>
    </row>
    <row r="9" spans="1:11" ht="14.25" customHeight="1">
      <c r="A9" s="5">
        <v>108</v>
      </c>
      <c r="B9" s="6">
        <v>44947</v>
      </c>
      <c r="C9" s="7" t="s">
        <v>15</v>
      </c>
      <c r="D9" s="7">
        <v>300</v>
      </c>
      <c r="E9" s="7" t="s">
        <v>17</v>
      </c>
      <c r="F9" s="8"/>
      <c r="G9" s="8"/>
      <c r="H9" s="19"/>
      <c r="I9" s="19"/>
      <c r="J9" s="14"/>
      <c r="K9" s="14"/>
    </row>
    <row r="10" spans="1:11" ht="14.25" customHeight="1">
      <c r="A10" s="5">
        <v>109</v>
      </c>
      <c r="B10" s="6">
        <v>44950</v>
      </c>
      <c r="C10" s="7" t="s">
        <v>18</v>
      </c>
      <c r="D10" s="7">
        <v>1000</v>
      </c>
      <c r="E10" s="7" t="s">
        <v>11</v>
      </c>
      <c r="F10" s="8"/>
      <c r="G10" s="8"/>
      <c r="H10" s="8"/>
      <c r="I10" s="8"/>
      <c r="J10" s="8"/>
      <c r="K10" s="8"/>
    </row>
    <row r="11" spans="1:11" ht="14.25" customHeight="1">
      <c r="A11" s="5">
        <v>110</v>
      </c>
      <c r="B11" s="6">
        <v>44953</v>
      </c>
      <c r="C11" s="7" t="s">
        <v>10</v>
      </c>
      <c r="D11" s="7">
        <v>900</v>
      </c>
      <c r="E11" s="7" t="s">
        <v>13</v>
      </c>
      <c r="F11" s="8"/>
      <c r="G11" s="8"/>
      <c r="H11" s="8"/>
      <c r="I11" s="8"/>
      <c r="J11" s="8"/>
      <c r="K11" s="8"/>
    </row>
    <row r="12" spans="1:11" ht="14.25" customHeight="1"/>
    <row r="13" spans="1:11" ht="14.25" customHeight="1"/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B2:E11">
    <cfRule type="notContainsBlanks" dxfId="0" priority="1">
      <formula>LEN(TRIM(B2))&gt;0</formula>
    </cfRule>
  </conditionalFormatting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defaultColWidth="12.6328125" defaultRowHeight="15" customHeight="1"/>
  <cols>
    <col min="1" max="2" width="8.6328125" customWidth="1"/>
    <col min="3" max="3" width="11.453125" customWidth="1"/>
    <col min="4" max="7" width="8.6328125" customWidth="1"/>
    <col min="8" max="8" width="11.26953125" customWidth="1"/>
    <col min="9" max="9" width="14.36328125" customWidth="1"/>
    <col min="10" max="10" width="8.6328125" customWidth="1"/>
    <col min="11" max="11" width="12.6328125" customWidth="1"/>
    <col min="12" max="26" width="8.6328125" customWidth="1"/>
  </cols>
  <sheetData>
    <row r="1" spans="1:11" ht="14.2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1"/>
      <c r="G1" s="22" t="s">
        <v>5</v>
      </c>
      <c r="H1" s="22" t="s">
        <v>6</v>
      </c>
      <c r="I1" s="23" t="s">
        <v>7</v>
      </c>
      <c r="J1" s="23" t="s">
        <v>4</v>
      </c>
      <c r="K1" s="23" t="s">
        <v>9</v>
      </c>
    </row>
    <row r="2" spans="1:11" ht="14.25" customHeight="1">
      <c r="A2" s="24">
        <v>111</v>
      </c>
      <c r="B2" s="25">
        <v>44959</v>
      </c>
      <c r="C2" s="24" t="s">
        <v>15</v>
      </c>
      <c r="D2" s="24">
        <v>700</v>
      </c>
      <c r="E2" s="24" t="s">
        <v>17</v>
      </c>
      <c r="F2" s="26"/>
      <c r="G2" s="27">
        <f>SUM(D2:D11)</f>
        <v>11000</v>
      </c>
      <c r="H2" s="28" t="s">
        <v>10</v>
      </c>
      <c r="I2" s="29">
        <f>SUMIF(C2:C11,"ELECTRONICS",D2:D11)</f>
        <v>3400</v>
      </c>
      <c r="J2" s="30" t="s">
        <v>11</v>
      </c>
      <c r="K2" s="31">
        <f>SUMIF(E2:E11,"NORTH",D2:D11)</f>
        <v>4100</v>
      </c>
    </row>
    <row r="3" spans="1:11" ht="14.25" customHeight="1">
      <c r="A3" s="24">
        <v>112</v>
      </c>
      <c r="B3" s="25">
        <v>44962</v>
      </c>
      <c r="C3" s="24" t="s">
        <v>10</v>
      </c>
      <c r="D3" s="24">
        <v>1200</v>
      </c>
      <c r="E3" s="24" t="s">
        <v>11</v>
      </c>
      <c r="F3" s="26"/>
      <c r="G3" s="26"/>
      <c r="H3" s="28"/>
      <c r="I3" s="26"/>
      <c r="J3" s="30"/>
      <c r="K3" s="26"/>
    </row>
    <row r="4" spans="1:11" ht="14.25" customHeight="1">
      <c r="A4" s="24">
        <v>113</v>
      </c>
      <c r="B4" s="25">
        <v>44964</v>
      </c>
      <c r="C4" s="24" t="s">
        <v>18</v>
      </c>
      <c r="D4" s="24">
        <v>1300</v>
      </c>
      <c r="E4" s="24" t="s">
        <v>14</v>
      </c>
      <c r="F4" s="26"/>
      <c r="G4" s="26"/>
      <c r="H4" s="28" t="s">
        <v>15</v>
      </c>
      <c r="I4" s="29">
        <f>SUMIF(C2:C11,"CLOTHING",D2:D11)</f>
        <v>2700</v>
      </c>
      <c r="J4" s="30" t="s">
        <v>13</v>
      </c>
      <c r="K4" s="31">
        <f>SUMIF(E2:E11,"SOUTH",D2:D11)</f>
        <v>2000</v>
      </c>
    </row>
    <row r="5" spans="1:11" ht="14.25" customHeight="1">
      <c r="A5" s="24">
        <v>114</v>
      </c>
      <c r="B5" s="25">
        <v>44967</v>
      </c>
      <c r="C5" s="24" t="s">
        <v>15</v>
      </c>
      <c r="D5" s="24">
        <v>600</v>
      </c>
      <c r="E5" s="24" t="s">
        <v>13</v>
      </c>
      <c r="F5" s="26"/>
      <c r="G5" s="26"/>
      <c r="H5" s="28"/>
      <c r="I5" s="26"/>
      <c r="J5" s="30"/>
      <c r="K5" s="26"/>
    </row>
    <row r="6" spans="1:11" ht="14.25" customHeight="1">
      <c r="A6" s="24">
        <v>115</v>
      </c>
      <c r="B6" s="25">
        <v>44970</v>
      </c>
      <c r="C6" s="24" t="s">
        <v>10</v>
      </c>
      <c r="D6" s="24">
        <v>800</v>
      </c>
      <c r="E6" s="24" t="s">
        <v>17</v>
      </c>
      <c r="F6" s="26"/>
      <c r="G6" s="26"/>
      <c r="H6" s="28" t="s">
        <v>18</v>
      </c>
      <c r="I6" s="29">
        <f>SUMIF(C2:C11,"FURNITURE",D2:D11)</f>
        <v>4900</v>
      </c>
      <c r="J6" s="30" t="s">
        <v>17</v>
      </c>
      <c r="K6" s="31">
        <f>SUMIF(E2:E11,"EAST",D2:D11)</f>
        <v>3100</v>
      </c>
    </row>
    <row r="7" spans="1:11" ht="14.25" customHeight="1">
      <c r="A7" s="24">
        <v>116</v>
      </c>
      <c r="B7" s="25">
        <v>44973</v>
      </c>
      <c r="C7" s="24" t="s">
        <v>18</v>
      </c>
      <c r="D7" s="24">
        <v>2000</v>
      </c>
      <c r="E7" s="24" t="s">
        <v>11</v>
      </c>
      <c r="F7" s="26"/>
      <c r="G7" s="26"/>
      <c r="H7" s="28"/>
      <c r="I7" s="26"/>
      <c r="J7" s="30"/>
      <c r="K7" s="26"/>
    </row>
    <row r="8" spans="1:11" ht="14.25" customHeight="1">
      <c r="A8" s="24">
        <v>117</v>
      </c>
      <c r="B8" s="25">
        <v>44976</v>
      </c>
      <c r="C8" s="24" t="s">
        <v>15</v>
      </c>
      <c r="D8" s="24">
        <v>500</v>
      </c>
      <c r="E8" s="24" t="s">
        <v>14</v>
      </c>
      <c r="F8" s="26"/>
      <c r="G8" s="26"/>
      <c r="H8" s="28"/>
      <c r="I8" s="26"/>
      <c r="J8" s="30" t="s">
        <v>14</v>
      </c>
      <c r="K8" s="31">
        <f>SUMIF(E2:E11,"WEST",D2:D11)</f>
        <v>1800</v>
      </c>
    </row>
    <row r="9" spans="1:11" ht="14.25" customHeight="1">
      <c r="A9" s="24">
        <v>118</v>
      </c>
      <c r="B9" s="25">
        <v>44979</v>
      </c>
      <c r="C9" s="24" t="s">
        <v>10</v>
      </c>
      <c r="D9" s="24">
        <v>1400</v>
      </c>
      <c r="E9" s="24" t="s">
        <v>13</v>
      </c>
      <c r="F9" s="26"/>
      <c r="G9" s="26"/>
      <c r="H9" s="28"/>
      <c r="I9" s="26"/>
      <c r="J9" s="30"/>
      <c r="K9" s="26"/>
    </row>
    <row r="10" spans="1:11" ht="14.25" customHeight="1">
      <c r="A10" s="24">
        <v>119</v>
      </c>
      <c r="B10" s="25">
        <v>44982</v>
      </c>
      <c r="C10" s="24" t="s">
        <v>18</v>
      </c>
      <c r="D10" s="24">
        <v>1600</v>
      </c>
      <c r="E10" s="24" t="s">
        <v>17</v>
      </c>
      <c r="F10" s="26"/>
      <c r="G10" s="26"/>
      <c r="H10" s="28"/>
      <c r="I10" s="26"/>
      <c r="J10" s="30"/>
      <c r="K10" s="26"/>
    </row>
    <row r="11" spans="1:11" ht="14.25" customHeight="1">
      <c r="A11" s="24">
        <v>120</v>
      </c>
      <c r="B11" s="25">
        <v>44985</v>
      </c>
      <c r="C11" s="24" t="s">
        <v>15</v>
      </c>
      <c r="D11" s="24">
        <v>900</v>
      </c>
      <c r="E11" s="24" t="s">
        <v>11</v>
      </c>
      <c r="F11" s="26"/>
      <c r="G11" s="26"/>
      <c r="H11" s="28"/>
      <c r="I11" s="26"/>
      <c r="J11" s="30"/>
      <c r="K11" s="26"/>
    </row>
    <row r="12" spans="1:11" ht="14.25" customHeight="1"/>
    <row r="13" spans="1:11" ht="14.25" customHeight="1"/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abSelected="1" workbookViewId="0">
      <selection activeCell="H13" sqref="H13"/>
    </sheetView>
  </sheetViews>
  <sheetFormatPr defaultColWidth="12.6328125" defaultRowHeight="15" customHeight="1"/>
  <cols>
    <col min="1" max="2" width="8.6328125" customWidth="1"/>
    <col min="3" max="3" width="12" customWidth="1"/>
    <col min="4" max="7" width="8.6328125" customWidth="1"/>
    <col min="8" max="8" width="11" customWidth="1"/>
    <col min="9" max="9" width="14.453125" customWidth="1"/>
    <col min="10" max="10" width="8.6328125" customWidth="1"/>
    <col min="11" max="11" width="12.6328125" customWidth="1"/>
    <col min="12" max="26" width="8.6328125" customWidth="1"/>
  </cols>
  <sheetData>
    <row r="1" spans="1:11" ht="14.25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3"/>
      <c r="G1" s="34" t="s">
        <v>5</v>
      </c>
      <c r="H1" s="35" t="s">
        <v>6</v>
      </c>
      <c r="I1" s="36" t="s">
        <v>7</v>
      </c>
      <c r="J1" s="36" t="s">
        <v>4</v>
      </c>
      <c r="K1" s="36" t="s">
        <v>9</v>
      </c>
    </row>
    <row r="2" spans="1:11" ht="14.25" customHeight="1">
      <c r="A2" s="37">
        <v>121</v>
      </c>
      <c r="B2" s="38">
        <v>44986</v>
      </c>
      <c r="C2" s="37" t="s">
        <v>10</v>
      </c>
      <c r="D2" s="37">
        <v>1500</v>
      </c>
      <c r="E2" s="37" t="s">
        <v>13</v>
      </c>
      <c r="F2" s="39"/>
      <c r="G2" s="40">
        <f>SUM(D2:D11)</f>
        <v>12200</v>
      </c>
      <c r="H2" s="41" t="s">
        <v>10</v>
      </c>
      <c r="I2" s="42">
        <f>SUMIF(C2:C11,"ELECTRONICS",D2:D11)</f>
        <v>4600</v>
      </c>
      <c r="J2" s="43" t="s">
        <v>13</v>
      </c>
      <c r="K2" s="44">
        <f>SUMIF(E2:E11,"SOUTH",D2:D11)</f>
        <v>3000</v>
      </c>
    </row>
    <row r="3" spans="1:11" ht="14.25" customHeight="1">
      <c r="A3" s="37">
        <v>122</v>
      </c>
      <c r="B3" s="38">
        <v>44988</v>
      </c>
      <c r="C3" s="37" t="s">
        <v>15</v>
      </c>
      <c r="D3" s="37">
        <v>1100</v>
      </c>
      <c r="E3" s="37" t="s">
        <v>17</v>
      </c>
      <c r="F3" s="39"/>
      <c r="G3" s="39"/>
      <c r="H3" s="42"/>
      <c r="I3" s="42"/>
      <c r="J3" s="44"/>
      <c r="K3" s="44"/>
    </row>
    <row r="4" spans="1:11" ht="14.25" customHeight="1">
      <c r="A4" s="37">
        <v>123</v>
      </c>
      <c r="B4" s="38">
        <v>44991</v>
      </c>
      <c r="C4" s="37" t="s">
        <v>18</v>
      </c>
      <c r="D4" s="37">
        <v>1700</v>
      </c>
      <c r="E4" s="37" t="s">
        <v>11</v>
      </c>
      <c r="F4" s="39"/>
      <c r="G4" s="39"/>
      <c r="H4" s="41" t="s">
        <v>15</v>
      </c>
      <c r="I4" s="42">
        <f>SUMIF(C2:C11,"CLOTHING",D2:D11)</f>
        <v>3100</v>
      </c>
      <c r="J4" s="43" t="s">
        <v>11</v>
      </c>
      <c r="K4" s="44">
        <f>SUMIF(E2:E11,"NORTH",D2:D11)</f>
        <v>4500</v>
      </c>
    </row>
    <row r="5" spans="1:11" ht="14.25" customHeight="1">
      <c r="A5" s="37">
        <v>124</v>
      </c>
      <c r="B5" s="38">
        <v>44994</v>
      </c>
      <c r="C5" s="37" t="s">
        <v>10</v>
      </c>
      <c r="D5" s="37">
        <v>1300</v>
      </c>
      <c r="E5" s="37" t="s">
        <v>14</v>
      </c>
      <c r="F5" s="39"/>
      <c r="G5" s="39"/>
      <c r="H5" s="42"/>
      <c r="I5" s="42"/>
      <c r="J5" s="44"/>
      <c r="K5" s="44"/>
    </row>
    <row r="6" spans="1:11" ht="14.25" customHeight="1">
      <c r="A6" s="37">
        <v>125</v>
      </c>
      <c r="B6" s="38">
        <v>44996</v>
      </c>
      <c r="C6" s="37" t="s">
        <v>15</v>
      </c>
      <c r="D6" s="37">
        <v>800</v>
      </c>
      <c r="E6" s="37" t="s">
        <v>13</v>
      </c>
      <c r="F6" s="39"/>
      <c r="G6" s="39"/>
      <c r="H6" s="41" t="s">
        <v>18</v>
      </c>
      <c r="I6" s="42">
        <f>SUMIF(C2:C11,"FURNITURE",D2:D11)</f>
        <v>4500</v>
      </c>
      <c r="J6" s="43" t="s">
        <v>17</v>
      </c>
      <c r="K6" s="44">
        <f>SUMIF(E2:E11,"EAST",D2:D11)</f>
        <v>2200</v>
      </c>
    </row>
    <row r="7" spans="1:11" ht="14.25" customHeight="1">
      <c r="A7" s="37">
        <v>126</v>
      </c>
      <c r="B7" s="38">
        <v>44999</v>
      </c>
      <c r="C7" s="37" t="s">
        <v>18</v>
      </c>
      <c r="D7" s="37">
        <v>900</v>
      </c>
      <c r="E7" s="37" t="s">
        <v>11</v>
      </c>
      <c r="F7" s="39"/>
      <c r="G7" s="39"/>
      <c r="H7" s="42"/>
      <c r="I7" s="42"/>
      <c r="J7" s="44"/>
      <c r="K7" s="44"/>
    </row>
    <row r="8" spans="1:11" ht="14.25" customHeight="1">
      <c r="A8" s="37">
        <v>127</v>
      </c>
      <c r="B8" s="38">
        <v>45002</v>
      </c>
      <c r="C8" s="37" t="s">
        <v>10</v>
      </c>
      <c r="D8" s="37">
        <v>1100</v>
      </c>
      <c r="E8" s="37" t="s">
        <v>17</v>
      </c>
      <c r="F8" s="39"/>
      <c r="G8" s="39"/>
      <c r="H8" s="42"/>
      <c r="I8" s="42"/>
      <c r="J8" s="43" t="s">
        <v>14</v>
      </c>
      <c r="K8" s="44">
        <f>SUMIF(E2:E11,"WEST",D2:D11)</f>
        <v>2500</v>
      </c>
    </row>
    <row r="9" spans="1:11" ht="14.25" customHeight="1">
      <c r="A9" s="37">
        <v>128</v>
      </c>
      <c r="B9" s="38">
        <v>45004</v>
      </c>
      <c r="C9" s="37" t="s">
        <v>15</v>
      </c>
      <c r="D9" s="37">
        <v>1200</v>
      </c>
      <c r="E9" s="37" t="s">
        <v>14</v>
      </c>
      <c r="F9" s="39"/>
      <c r="G9" s="39"/>
      <c r="H9" s="39"/>
      <c r="I9" s="39"/>
      <c r="J9" s="39"/>
      <c r="K9" s="39"/>
    </row>
    <row r="10" spans="1:11" ht="14.25" customHeight="1">
      <c r="A10" s="37">
        <v>129</v>
      </c>
      <c r="B10" s="38">
        <v>45006</v>
      </c>
      <c r="C10" s="37" t="s">
        <v>18</v>
      </c>
      <c r="D10" s="37">
        <v>1900</v>
      </c>
      <c r="E10" s="37" t="s">
        <v>11</v>
      </c>
      <c r="F10" s="39"/>
      <c r="G10" s="39"/>
      <c r="H10" s="39"/>
      <c r="I10" s="39"/>
      <c r="J10" s="39"/>
      <c r="K10" s="39"/>
    </row>
    <row r="11" spans="1:11" ht="14.25" customHeight="1">
      <c r="A11" s="37">
        <v>130</v>
      </c>
      <c r="B11" s="38">
        <v>45009</v>
      </c>
      <c r="C11" s="37" t="s">
        <v>10</v>
      </c>
      <c r="D11" s="37">
        <v>700</v>
      </c>
      <c r="E11" s="37" t="s">
        <v>13</v>
      </c>
      <c r="F11" s="39"/>
      <c r="G11" s="39"/>
      <c r="H11" s="39"/>
      <c r="I11" s="39"/>
      <c r="J11" s="39"/>
      <c r="K11" s="39"/>
    </row>
    <row r="12" spans="1:11" ht="14.25" customHeight="1"/>
    <row r="13" spans="1:11" ht="14.25" customHeight="1"/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/>
  </sheetViews>
  <sheetFormatPr defaultColWidth="12.6328125" defaultRowHeight="15" customHeight="1"/>
  <cols>
    <col min="1" max="2" width="8.6328125" customWidth="1"/>
    <col min="3" max="3" width="11.7265625" customWidth="1"/>
    <col min="4" max="7" width="8.6328125" customWidth="1"/>
    <col min="8" max="8" width="9.6328125" customWidth="1"/>
    <col min="9" max="9" width="14" customWidth="1"/>
    <col min="10" max="10" width="8.6328125" customWidth="1"/>
    <col min="11" max="11" width="12.36328125" customWidth="1"/>
    <col min="12" max="26" width="8.6328125" customWidth="1"/>
  </cols>
  <sheetData>
    <row r="1" spans="1:11" ht="14.25" customHeight="1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6"/>
      <c r="G1" s="47" t="s">
        <v>5</v>
      </c>
      <c r="H1" s="48" t="s">
        <v>6</v>
      </c>
      <c r="I1" s="49" t="s">
        <v>7</v>
      </c>
      <c r="J1" s="49" t="s">
        <v>4</v>
      </c>
      <c r="K1" s="49" t="s">
        <v>9</v>
      </c>
    </row>
    <row r="2" spans="1:11" ht="14.25" customHeight="1">
      <c r="A2" s="50">
        <v>131</v>
      </c>
      <c r="B2" s="51">
        <v>45018</v>
      </c>
      <c r="C2" s="50" t="s">
        <v>15</v>
      </c>
      <c r="D2" s="50">
        <v>800</v>
      </c>
      <c r="E2" s="50" t="s">
        <v>17</v>
      </c>
      <c r="F2" s="52"/>
      <c r="G2" s="53">
        <f>SUM(D2:D11)</f>
        <v>11800</v>
      </c>
      <c r="H2" s="54" t="s">
        <v>10</v>
      </c>
      <c r="I2" s="55">
        <f>SUMIF(C2:C11,"ELECTRONICS",D2:D11)</f>
        <v>3800</v>
      </c>
      <c r="J2" s="56" t="s">
        <v>11</v>
      </c>
      <c r="K2" s="56">
        <f>SUMIF(E2:E11,"NORTH",D2:D11)</f>
        <v>4300</v>
      </c>
    </row>
    <row r="3" spans="1:11" ht="14.25" customHeight="1">
      <c r="A3" s="50">
        <v>132</v>
      </c>
      <c r="B3" s="51">
        <v>45021</v>
      </c>
      <c r="C3" s="50" t="s">
        <v>10</v>
      </c>
      <c r="D3" s="50">
        <v>2000</v>
      </c>
      <c r="E3" s="50" t="s">
        <v>11</v>
      </c>
      <c r="F3" s="52"/>
      <c r="G3" s="52"/>
      <c r="H3" s="54"/>
      <c r="I3" s="54"/>
      <c r="J3" s="56"/>
      <c r="K3" s="56"/>
    </row>
    <row r="4" spans="1:11" ht="14.25" customHeight="1">
      <c r="A4" s="50">
        <v>133</v>
      </c>
      <c r="B4" s="51">
        <v>45023</v>
      </c>
      <c r="C4" s="50" t="s">
        <v>18</v>
      </c>
      <c r="D4" s="50">
        <v>1800</v>
      </c>
      <c r="E4" s="50" t="s">
        <v>14</v>
      </c>
      <c r="F4" s="52"/>
      <c r="G4" s="52"/>
      <c r="H4" s="54" t="s">
        <v>15</v>
      </c>
      <c r="I4" s="55">
        <f>SUMIF(C2:C11,"CLOTHING",D2:D11)</f>
        <v>2800</v>
      </c>
      <c r="J4" s="56" t="s">
        <v>13</v>
      </c>
      <c r="K4" s="57">
        <f>SUMIF(E2:E11,"SOUTH",D2:D11)</f>
        <v>1700</v>
      </c>
    </row>
    <row r="5" spans="1:11" ht="14.25" customHeight="1">
      <c r="A5" s="50">
        <v>134</v>
      </c>
      <c r="B5" s="51">
        <v>45026</v>
      </c>
      <c r="C5" s="50" t="s">
        <v>15</v>
      </c>
      <c r="D5" s="50">
        <v>600</v>
      </c>
      <c r="E5" s="50" t="s">
        <v>13</v>
      </c>
      <c r="F5" s="52"/>
      <c r="G5" s="52"/>
      <c r="H5" s="54"/>
      <c r="I5" s="54"/>
      <c r="J5" s="56"/>
      <c r="K5" s="56"/>
    </row>
    <row r="6" spans="1:11" ht="14.25" customHeight="1">
      <c r="A6" s="50">
        <v>135</v>
      </c>
      <c r="B6" s="51">
        <v>45029</v>
      </c>
      <c r="C6" s="50" t="s">
        <v>10</v>
      </c>
      <c r="D6" s="50">
        <v>700</v>
      </c>
      <c r="E6" s="50" t="s">
        <v>17</v>
      </c>
      <c r="F6" s="52"/>
      <c r="G6" s="52"/>
      <c r="H6" s="54" t="s">
        <v>18</v>
      </c>
      <c r="I6" s="54">
        <f>SUMIF(C2:C11,"FURNITURE",D2:D11)</f>
        <v>5200</v>
      </c>
      <c r="J6" s="56" t="s">
        <v>17</v>
      </c>
      <c r="K6" s="57">
        <f>SUMIF(E2:E11,"EAST",D2:D11)</f>
        <v>3500</v>
      </c>
    </row>
    <row r="7" spans="1:11" ht="14.25" customHeight="1">
      <c r="A7" s="50">
        <v>136</v>
      </c>
      <c r="B7" s="51">
        <v>45031</v>
      </c>
      <c r="C7" s="50" t="s">
        <v>18</v>
      </c>
      <c r="D7" s="50">
        <v>1400</v>
      </c>
      <c r="E7" s="50" t="s">
        <v>11</v>
      </c>
      <c r="F7" s="52"/>
      <c r="G7" s="52"/>
      <c r="H7" s="54"/>
      <c r="I7" s="54"/>
      <c r="J7" s="56"/>
      <c r="K7" s="56"/>
    </row>
    <row r="8" spans="1:11" ht="14.25" customHeight="1">
      <c r="A8" s="50">
        <v>137</v>
      </c>
      <c r="B8" s="51">
        <v>45034</v>
      </c>
      <c r="C8" s="50" t="s">
        <v>15</v>
      </c>
      <c r="D8" s="50">
        <v>500</v>
      </c>
      <c r="E8" s="50" t="s">
        <v>14</v>
      </c>
      <c r="F8" s="52"/>
      <c r="G8" s="52"/>
      <c r="H8" s="54"/>
      <c r="I8" s="54"/>
      <c r="J8" s="56" t="s">
        <v>14</v>
      </c>
      <c r="K8" s="57">
        <f>SUMIF(E2:E11,"WEST",D2:D11)</f>
        <v>2300</v>
      </c>
    </row>
    <row r="9" spans="1:11" ht="14.25" customHeight="1">
      <c r="A9" s="50">
        <v>138</v>
      </c>
      <c r="B9" s="51">
        <v>45037</v>
      </c>
      <c r="C9" s="50" t="s">
        <v>10</v>
      </c>
      <c r="D9" s="50">
        <v>1100</v>
      </c>
      <c r="E9" s="50" t="s">
        <v>13</v>
      </c>
      <c r="F9" s="52"/>
      <c r="G9" s="52"/>
      <c r="H9" s="52"/>
      <c r="I9" s="52"/>
      <c r="J9" s="52"/>
      <c r="K9" s="52"/>
    </row>
    <row r="10" spans="1:11" ht="14.25" customHeight="1">
      <c r="A10" s="50">
        <v>139</v>
      </c>
      <c r="B10" s="51">
        <v>45040</v>
      </c>
      <c r="C10" s="50" t="s">
        <v>18</v>
      </c>
      <c r="D10" s="50">
        <v>2000</v>
      </c>
      <c r="E10" s="50" t="s">
        <v>17</v>
      </c>
      <c r="F10" s="52"/>
      <c r="G10" s="52"/>
      <c r="H10" s="52"/>
      <c r="I10" s="52"/>
      <c r="J10" s="52"/>
      <c r="K10" s="52"/>
    </row>
    <row r="11" spans="1:11" ht="14.25" customHeight="1">
      <c r="A11" s="50">
        <v>140</v>
      </c>
      <c r="B11" s="51">
        <v>45043</v>
      </c>
      <c r="C11" s="50" t="s">
        <v>15</v>
      </c>
      <c r="D11" s="50">
        <v>900</v>
      </c>
      <c r="E11" s="50" t="s">
        <v>11</v>
      </c>
      <c r="F11" s="52"/>
      <c r="G11" s="52"/>
      <c r="H11" s="52"/>
      <c r="I11" s="52"/>
      <c r="J11" s="52"/>
      <c r="K11" s="52"/>
    </row>
    <row r="12" spans="1:11" ht="14.25" customHeight="1"/>
    <row r="13" spans="1:11" ht="14.25" customHeight="1"/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/>
  </sheetViews>
  <sheetFormatPr defaultColWidth="12.6328125" defaultRowHeight="15" customHeight="1"/>
  <cols>
    <col min="1" max="2" width="8.6328125" customWidth="1"/>
    <col min="3" max="3" width="10.7265625" customWidth="1"/>
    <col min="4" max="7" width="8.6328125" customWidth="1"/>
    <col min="8" max="8" width="11.26953125" customWidth="1"/>
    <col min="9" max="9" width="14.36328125" customWidth="1"/>
    <col min="10" max="10" width="8.6328125" customWidth="1"/>
    <col min="11" max="11" width="12.6328125" customWidth="1"/>
    <col min="12" max="26" width="8.6328125" customWidth="1"/>
  </cols>
  <sheetData>
    <row r="1" spans="1:11" ht="14.25" customHeight="1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9"/>
      <c r="G1" s="60" t="s">
        <v>5</v>
      </c>
      <c r="H1" s="61" t="s">
        <v>6</v>
      </c>
      <c r="I1" s="62" t="s">
        <v>7</v>
      </c>
      <c r="J1" s="62" t="s">
        <v>4</v>
      </c>
      <c r="K1" s="62" t="s">
        <v>9</v>
      </c>
    </row>
    <row r="2" spans="1:11" ht="14.25" customHeight="1">
      <c r="A2" s="63">
        <v>141</v>
      </c>
      <c r="B2" s="64">
        <v>45047</v>
      </c>
      <c r="C2" s="63" t="s">
        <v>10</v>
      </c>
      <c r="D2" s="63">
        <v>1200</v>
      </c>
      <c r="E2" s="63" t="s">
        <v>13</v>
      </c>
      <c r="F2" s="65"/>
      <c r="G2" s="66">
        <f>SUM(D2:D11)</f>
        <v>11000</v>
      </c>
      <c r="H2" s="67" t="s">
        <v>10</v>
      </c>
      <c r="I2" s="67">
        <f>SUMIF(C2:C11,"ELECTRONICS",D2:D11)</f>
        <v>4800</v>
      </c>
      <c r="J2" s="68" t="s">
        <v>11</v>
      </c>
      <c r="K2" s="68">
        <f>SUMIF(E2:E11,"north",D2:D11)</f>
        <v>4300</v>
      </c>
    </row>
    <row r="3" spans="1:11" ht="14.25" customHeight="1">
      <c r="A3" s="63">
        <v>142</v>
      </c>
      <c r="B3" s="64">
        <v>45050</v>
      </c>
      <c r="C3" s="63" t="s">
        <v>15</v>
      </c>
      <c r="D3" s="63">
        <v>900</v>
      </c>
      <c r="E3" s="63" t="s">
        <v>17</v>
      </c>
      <c r="F3" s="65"/>
      <c r="G3" s="65"/>
      <c r="H3" s="67"/>
      <c r="I3" s="67"/>
      <c r="J3" s="68"/>
      <c r="K3" s="68"/>
    </row>
    <row r="4" spans="1:11" ht="14.25" customHeight="1">
      <c r="A4" s="63">
        <v>143</v>
      </c>
      <c r="B4" s="64">
        <v>45053</v>
      </c>
      <c r="C4" s="63" t="s">
        <v>18</v>
      </c>
      <c r="D4" s="63">
        <v>1600</v>
      </c>
      <c r="E4" s="63" t="s">
        <v>11</v>
      </c>
      <c r="F4" s="65"/>
      <c r="G4" s="65"/>
      <c r="H4" s="67" t="s">
        <v>15</v>
      </c>
      <c r="I4" s="67">
        <f>SUMIF(C2:C11,"CLOTHING",D2:D11)</f>
        <v>2100</v>
      </c>
      <c r="J4" s="68" t="s">
        <v>13</v>
      </c>
      <c r="K4" s="68">
        <f>SUMIF(E2:E11,"south",D2:D11)</f>
        <v>3200</v>
      </c>
    </row>
    <row r="5" spans="1:11" ht="14.25" customHeight="1">
      <c r="A5" s="63">
        <v>144</v>
      </c>
      <c r="B5" s="64">
        <v>45055</v>
      </c>
      <c r="C5" s="63" t="s">
        <v>10</v>
      </c>
      <c r="D5" s="63">
        <v>800</v>
      </c>
      <c r="E5" s="63" t="s">
        <v>14</v>
      </c>
      <c r="F5" s="65"/>
      <c r="G5" s="65"/>
      <c r="H5" s="67"/>
      <c r="I5" s="67"/>
      <c r="J5" s="68"/>
      <c r="K5" s="68"/>
    </row>
    <row r="6" spans="1:11" ht="14.25" customHeight="1">
      <c r="A6" s="63">
        <v>145</v>
      </c>
      <c r="B6" s="64">
        <v>45058</v>
      </c>
      <c r="C6" s="63" t="s">
        <v>15</v>
      </c>
      <c r="D6" s="63">
        <v>500</v>
      </c>
      <c r="E6" s="63" t="s">
        <v>13</v>
      </c>
      <c r="F6" s="65"/>
      <c r="G6" s="65"/>
      <c r="H6" s="67" t="s">
        <v>18</v>
      </c>
      <c r="I6" s="67">
        <f>SUMIF(C2:C11,"FURNITURE",D2:D11)</f>
        <v>4100</v>
      </c>
      <c r="J6" s="68" t="s">
        <v>17</v>
      </c>
      <c r="K6" s="68">
        <f>SUMIF(E2:E11,"east",D2:D11)</f>
        <v>2000</v>
      </c>
    </row>
    <row r="7" spans="1:11" ht="14.25" customHeight="1">
      <c r="A7" s="63">
        <v>146</v>
      </c>
      <c r="B7" s="64">
        <v>45061</v>
      </c>
      <c r="C7" s="63" t="s">
        <v>18</v>
      </c>
      <c r="D7" s="63">
        <v>1100</v>
      </c>
      <c r="E7" s="63" t="s">
        <v>17</v>
      </c>
      <c r="F7" s="65"/>
      <c r="G7" s="65"/>
      <c r="H7" s="67"/>
      <c r="I7" s="67"/>
      <c r="J7" s="68"/>
      <c r="K7" s="68"/>
    </row>
    <row r="8" spans="1:11" ht="14.25" customHeight="1">
      <c r="A8" s="63">
        <v>147</v>
      </c>
      <c r="B8" s="64">
        <v>45064</v>
      </c>
      <c r="C8" s="63" t="s">
        <v>10</v>
      </c>
      <c r="D8" s="63">
        <v>1300</v>
      </c>
      <c r="E8" s="63" t="s">
        <v>11</v>
      </c>
      <c r="F8" s="65"/>
      <c r="G8" s="65"/>
      <c r="H8" s="67"/>
      <c r="I8" s="67"/>
      <c r="J8" s="68" t="s">
        <v>14</v>
      </c>
      <c r="K8" s="68">
        <f>SUMIF(E2:E11,"west",D2:D11)</f>
        <v>1500</v>
      </c>
    </row>
    <row r="9" spans="1:11" ht="14.25" customHeight="1">
      <c r="A9" s="63">
        <v>148</v>
      </c>
      <c r="B9" s="64">
        <v>45067</v>
      </c>
      <c r="C9" s="63" t="s">
        <v>15</v>
      </c>
      <c r="D9" s="63">
        <v>700</v>
      </c>
      <c r="E9" s="63" t="s">
        <v>14</v>
      </c>
      <c r="F9" s="65"/>
      <c r="G9" s="65"/>
      <c r="H9" s="65"/>
      <c r="I9" s="65"/>
      <c r="J9" s="65"/>
      <c r="K9" s="65"/>
    </row>
    <row r="10" spans="1:11" ht="14.25" customHeight="1">
      <c r="A10" s="63">
        <v>149</v>
      </c>
      <c r="B10" s="64">
        <v>45070</v>
      </c>
      <c r="C10" s="63" t="s">
        <v>18</v>
      </c>
      <c r="D10" s="63">
        <v>1400</v>
      </c>
      <c r="E10" s="63" t="s">
        <v>11</v>
      </c>
      <c r="F10" s="65"/>
      <c r="G10" s="65"/>
      <c r="H10" s="65"/>
      <c r="I10" s="65"/>
      <c r="J10" s="65"/>
      <c r="K10" s="65"/>
    </row>
    <row r="11" spans="1:11" ht="14.25" customHeight="1">
      <c r="A11" s="63">
        <v>150</v>
      </c>
      <c r="B11" s="64">
        <v>45073</v>
      </c>
      <c r="C11" s="63" t="s">
        <v>10</v>
      </c>
      <c r="D11" s="63">
        <v>1500</v>
      </c>
      <c r="E11" s="63" t="s">
        <v>13</v>
      </c>
      <c r="F11" s="65"/>
      <c r="G11" s="65"/>
      <c r="H11" s="65"/>
      <c r="I11" s="65"/>
      <c r="J11" s="65"/>
      <c r="K11" s="65"/>
    </row>
    <row r="12" spans="1:11" ht="14.25" customHeight="1"/>
    <row r="13" spans="1:11" ht="14.25" customHeight="1"/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workbookViewId="0"/>
  </sheetViews>
  <sheetFormatPr defaultColWidth="12.6328125" defaultRowHeight="15" customHeight="1"/>
  <cols>
    <col min="1" max="2" width="8.6328125" customWidth="1"/>
    <col min="3" max="3" width="11.26953125" customWidth="1"/>
    <col min="4" max="7" width="8.6328125" customWidth="1"/>
    <col min="8" max="8" width="10.6328125" customWidth="1"/>
    <col min="9" max="9" width="13.453125" customWidth="1"/>
    <col min="10" max="10" width="8.6328125" customWidth="1"/>
    <col min="11" max="11" width="13.26953125" customWidth="1"/>
    <col min="12" max="26" width="8.6328125" customWidth="1"/>
  </cols>
  <sheetData>
    <row r="1" spans="1:11" ht="14.25" customHeight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70"/>
      <c r="G1" s="71" t="s">
        <v>5</v>
      </c>
      <c r="H1" s="72" t="s">
        <v>6</v>
      </c>
      <c r="I1" s="73" t="s">
        <v>7</v>
      </c>
      <c r="J1" s="73" t="s">
        <v>4</v>
      </c>
      <c r="K1" s="73" t="s">
        <v>9</v>
      </c>
    </row>
    <row r="2" spans="1:11" ht="14.25" customHeight="1">
      <c r="A2" s="74">
        <v>151</v>
      </c>
      <c r="B2" s="75">
        <v>45078</v>
      </c>
      <c r="C2" s="74" t="s">
        <v>10</v>
      </c>
      <c r="D2" s="74">
        <v>1250</v>
      </c>
      <c r="E2" s="74" t="s">
        <v>11</v>
      </c>
      <c r="F2" s="76"/>
      <c r="G2" s="77">
        <f>SUM(D2:D11)</f>
        <v>11100</v>
      </c>
      <c r="H2" s="78" t="s">
        <v>10</v>
      </c>
      <c r="I2" s="78">
        <f>SUMIF(C2:C11,"ELECTRONICS",D2:D11)</f>
        <v>5050</v>
      </c>
      <c r="J2" s="79" t="s">
        <v>11</v>
      </c>
      <c r="K2" s="79">
        <f>SUMIF(E2:E11,"north",D2:D11)</f>
        <v>2600</v>
      </c>
    </row>
    <row r="3" spans="1:11" ht="14.25" customHeight="1">
      <c r="A3" s="74">
        <v>152</v>
      </c>
      <c r="B3" s="75">
        <v>45081</v>
      </c>
      <c r="C3" s="74" t="s">
        <v>15</v>
      </c>
      <c r="D3" s="74">
        <v>650</v>
      </c>
      <c r="E3" s="74" t="s">
        <v>17</v>
      </c>
      <c r="F3" s="76"/>
      <c r="G3" s="76"/>
      <c r="H3" s="78"/>
      <c r="I3" s="78"/>
      <c r="J3" s="79"/>
      <c r="K3" s="79"/>
    </row>
    <row r="4" spans="1:11" ht="14.25" customHeight="1">
      <c r="A4" s="74">
        <v>153</v>
      </c>
      <c r="B4" s="75">
        <v>45084</v>
      </c>
      <c r="C4" s="74" t="s">
        <v>18</v>
      </c>
      <c r="D4" s="74">
        <v>1400</v>
      </c>
      <c r="E4" s="74" t="s">
        <v>13</v>
      </c>
      <c r="F4" s="76"/>
      <c r="G4" s="76"/>
      <c r="H4" s="78" t="s">
        <v>15</v>
      </c>
      <c r="I4" s="78">
        <f>SUMIF(C2:C11,"clothing",D2:D11)</f>
        <v>2100</v>
      </c>
      <c r="J4" s="79" t="s">
        <v>13</v>
      </c>
      <c r="K4" s="79">
        <f>SUMIF(E2:E11,"south",D2:D11)</f>
        <v>3550</v>
      </c>
    </row>
    <row r="5" spans="1:11" ht="14.25" customHeight="1">
      <c r="A5" s="74">
        <v>154</v>
      </c>
      <c r="B5" s="75">
        <v>45087</v>
      </c>
      <c r="C5" s="74" t="s">
        <v>10</v>
      </c>
      <c r="D5" s="74">
        <v>900</v>
      </c>
      <c r="E5" s="74" t="s">
        <v>14</v>
      </c>
      <c r="F5" s="76"/>
      <c r="G5" s="76"/>
      <c r="H5" s="78"/>
      <c r="I5" s="78"/>
      <c r="J5" s="79"/>
      <c r="K5" s="79"/>
    </row>
    <row r="6" spans="1:11" ht="14.25" customHeight="1">
      <c r="A6" s="74">
        <v>155</v>
      </c>
      <c r="B6" s="75">
        <v>45090</v>
      </c>
      <c r="C6" s="74" t="s">
        <v>15</v>
      </c>
      <c r="D6" s="74">
        <v>700</v>
      </c>
      <c r="E6" s="74" t="s">
        <v>13</v>
      </c>
      <c r="F6" s="76"/>
      <c r="G6" s="76"/>
      <c r="H6" s="78" t="s">
        <v>18</v>
      </c>
      <c r="I6" s="78">
        <f>SUMIF(C2:C11,"furniture",D2:D11)</f>
        <v>3950</v>
      </c>
      <c r="J6" s="79" t="s">
        <v>17</v>
      </c>
      <c r="K6" s="79">
        <f>SUMIF(E2:E11,"east",D2:D11)</f>
        <v>3300</v>
      </c>
    </row>
    <row r="7" spans="1:11" ht="14.25" customHeight="1">
      <c r="A7" s="74">
        <v>156</v>
      </c>
      <c r="B7" s="75">
        <v>45093</v>
      </c>
      <c r="C7" s="74" t="s">
        <v>18</v>
      </c>
      <c r="D7" s="74">
        <v>1100</v>
      </c>
      <c r="E7" s="74" t="s">
        <v>17</v>
      </c>
      <c r="F7" s="76"/>
      <c r="G7" s="76"/>
      <c r="H7" s="78"/>
      <c r="I7" s="78"/>
      <c r="J7" s="79"/>
      <c r="K7" s="79"/>
    </row>
    <row r="8" spans="1:11" ht="14.25" customHeight="1">
      <c r="A8" s="74">
        <v>157</v>
      </c>
      <c r="B8" s="75">
        <v>45096</v>
      </c>
      <c r="C8" s="74" t="s">
        <v>10</v>
      </c>
      <c r="D8" s="74">
        <v>1350</v>
      </c>
      <c r="E8" s="74" t="s">
        <v>11</v>
      </c>
      <c r="F8" s="76"/>
      <c r="G8" s="76"/>
      <c r="H8" s="78"/>
      <c r="I8" s="78"/>
      <c r="J8" s="79" t="s">
        <v>14</v>
      </c>
      <c r="K8" s="79">
        <f>SUMIF(E2:E11,"west",D2:D11)</f>
        <v>1650</v>
      </c>
    </row>
    <row r="9" spans="1:11" ht="14.25" customHeight="1">
      <c r="A9" s="74">
        <v>158</v>
      </c>
      <c r="B9" s="75">
        <v>45099</v>
      </c>
      <c r="C9" s="74" t="s">
        <v>15</v>
      </c>
      <c r="D9" s="74">
        <v>750</v>
      </c>
      <c r="E9" s="74" t="s">
        <v>14</v>
      </c>
      <c r="F9" s="76"/>
      <c r="G9" s="76"/>
      <c r="H9" s="76"/>
      <c r="I9" s="76"/>
      <c r="J9" s="76"/>
      <c r="K9" s="76"/>
    </row>
    <row r="10" spans="1:11" ht="14.25" customHeight="1">
      <c r="A10" s="74">
        <v>159</v>
      </c>
      <c r="B10" s="75">
        <v>45102</v>
      </c>
      <c r="C10" s="74" t="s">
        <v>18</v>
      </c>
      <c r="D10" s="74">
        <v>1450</v>
      </c>
      <c r="E10" s="74" t="s">
        <v>13</v>
      </c>
      <c r="F10" s="76"/>
      <c r="G10" s="76"/>
      <c r="H10" s="76"/>
      <c r="I10" s="76"/>
      <c r="J10" s="76"/>
      <c r="K10" s="76"/>
    </row>
    <row r="11" spans="1:11" ht="14.25" customHeight="1">
      <c r="A11" s="74">
        <v>160</v>
      </c>
      <c r="B11" s="75">
        <v>45105</v>
      </c>
      <c r="C11" s="74" t="s">
        <v>10</v>
      </c>
      <c r="D11" s="74">
        <v>1550</v>
      </c>
      <c r="E11" s="74" t="s">
        <v>17</v>
      </c>
      <c r="F11" s="76"/>
      <c r="G11" s="76"/>
      <c r="H11" s="76"/>
      <c r="I11" s="76"/>
      <c r="J11" s="76"/>
      <c r="K11" s="76"/>
    </row>
    <row r="12" spans="1:11" ht="14.25" customHeight="1"/>
    <row r="13" spans="1:11" ht="14.25" customHeight="1"/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workbookViewId="0"/>
  </sheetViews>
  <sheetFormatPr defaultColWidth="12.6328125" defaultRowHeight="15" customHeight="1"/>
  <cols>
    <col min="1" max="2" width="8.6328125" customWidth="1"/>
    <col min="3" max="3" width="13.08984375" customWidth="1"/>
    <col min="4" max="7" width="8.6328125" customWidth="1"/>
    <col min="8" max="8" width="11.7265625" customWidth="1"/>
    <col min="9" max="9" width="14.7265625" customWidth="1"/>
    <col min="10" max="10" width="8.6328125" customWidth="1"/>
    <col min="11" max="11" width="12.26953125" customWidth="1"/>
    <col min="12" max="26" width="8.6328125" customWidth="1"/>
  </cols>
  <sheetData>
    <row r="1" spans="1:11" ht="14.25" customHeight="1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1"/>
      <c r="G1" s="82" t="s">
        <v>5</v>
      </c>
      <c r="H1" s="83" t="s">
        <v>6</v>
      </c>
      <c r="I1" s="84" t="s">
        <v>7</v>
      </c>
      <c r="J1" s="84" t="s">
        <v>4</v>
      </c>
      <c r="K1" s="84" t="s">
        <v>9</v>
      </c>
    </row>
    <row r="2" spans="1:11" ht="14.25" customHeight="1">
      <c r="A2" s="85">
        <v>161</v>
      </c>
      <c r="B2" s="86">
        <v>45109</v>
      </c>
      <c r="C2" s="85" t="s">
        <v>10</v>
      </c>
      <c r="D2" s="85">
        <v>1300</v>
      </c>
      <c r="E2" s="85" t="s">
        <v>11</v>
      </c>
      <c r="F2" s="87"/>
      <c r="G2" s="88">
        <f>SUM(D2:D11)</f>
        <v>11400</v>
      </c>
      <c r="H2" s="89" t="s">
        <v>10</v>
      </c>
      <c r="I2" s="89">
        <f>SUMIF(C2:C11,"ELECTRONICS",D2:D11)</f>
        <v>5300</v>
      </c>
      <c r="J2" s="90" t="s">
        <v>11</v>
      </c>
      <c r="K2" s="90">
        <f>SUMIF(E2:E11,"north",D2:D11)</f>
        <v>2700</v>
      </c>
    </row>
    <row r="3" spans="1:11" ht="14.25" customHeight="1">
      <c r="A3" s="85">
        <v>162</v>
      </c>
      <c r="B3" s="86">
        <v>45112</v>
      </c>
      <c r="C3" s="85" t="s">
        <v>15</v>
      </c>
      <c r="D3" s="85">
        <v>700</v>
      </c>
      <c r="E3" s="85" t="s">
        <v>17</v>
      </c>
      <c r="F3" s="87"/>
      <c r="G3" s="87"/>
      <c r="H3" s="89"/>
      <c r="I3" s="89"/>
      <c r="J3" s="90"/>
      <c r="K3" s="90"/>
    </row>
    <row r="4" spans="1:11" ht="14.25" customHeight="1">
      <c r="A4" s="85">
        <v>163</v>
      </c>
      <c r="B4" s="86">
        <v>45115</v>
      </c>
      <c r="C4" s="85" t="s">
        <v>18</v>
      </c>
      <c r="D4" s="85">
        <v>1500</v>
      </c>
      <c r="E4" s="85" t="s">
        <v>13</v>
      </c>
      <c r="F4" s="87"/>
      <c r="G4" s="87"/>
      <c r="H4" s="89" t="s">
        <v>15</v>
      </c>
      <c r="I4" s="89">
        <f>SUMIF(C2:C11,"clothing",D2:D11)</f>
        <v>2050</v>
      </c>
      <c r="J4" s="90" t="s">
        <v>13</v>
      </c>
      <c r="K4" s="90">
        <f>SUMIF(E2:E11,"south",D2:D11)</f>
        <v>3450</v>
      </c>
    </row>
    <row r="5" spans="1:11" ht="14.25" customHeight="1">
      <c r="A5" s="85">
        <v>164</v>
      </c>
      <c r="B5" s="86">
        <v>45118</v>
      </c>
      <c r="C5" s="85" t="s">
        <v>10</v>
      </c>
      <c r="D5" s="85">
        <v>1000</v>
      </c>
      <c r="E5" s="85" t="s">
        <v>14</v>
      </c>
      <c r="F5" s="87"/>
      <c r="G5" s="87"/>
      <c r="H5" s="89"/>
      <c r="I5" s="89"/>
      <c r="J5" s="90"/>
      <c r="K5" s="90"/>
    </row>
    <row r="6" spans="1:11" ht="14.25" customHeight="1">
      <c r="A6" s="85">
        <v>165</v>
      </c>
      <c r="B6" s="86">
        <v>45121</v>
      </c>
      <c r="C6" s="85" t="s">
        <v>15</v>
      </c>
      <c r="D6" s="85">
        <v>600</v>
      </c>
      <c r="E6" s="85" t="s">
        <v>13</v>
      </c>
      <c r="F6" s="87"/>
      <c r="G6" s="87"/>
      <c r="H6" s="89" t="s">
        <v>18</v>
      </c>
      <c r="I6" s="89">
        <f>SUMIF(C2:C11,"furniture",D2:D11)</f>
        <v>4050</v>
      </c>
      <c r="J6" s="90" t="s">
        <v>17</v>
      </c>
      <c r="K6" s="90">
        <f>SUMIF(E2:E11,"east",D2:D11)</f>
        <v>3500</v>
      </c>
    </row>
    <row r="7" spans="1:11" ht="14.25" customHeight="1">
      <c r="A7" s="85">
        <v>166</v>
      </c>
      <c r="B7" s="86">
        <v>45124</v>
      </c>
      <c r="C7" s="85" t="s">
        <v>18</v>
      </c>
      <c r="D7" s="85">
        <v>1200</v>
      </c>
      <c r="E7" s="85" t="s">
        <v>17</v>
      </c>
      <c r="F7" s="87"/>
      <c r="G7" s="87"/>
      <c r="H7" s="89"/>
      <c r="I7" s="89"/>
      <c r="J7" s="90"/>
      <c r="K7" s="90"/>
    </row>
    <row r="8" spans="1:11" ht="14.25" customHeight="1">
      <c r="A8" s="85">
        <v>167</v>
      </c>
      <c r="B8" s="86">
        <v>45127</v>
      </c>
      <c r="C8" s="85" t="s">
        <v>10</v>
      </c>
      <c r="D8" s="85">
        <v>1400</v>
      </c>
      <c r="E8" s="85" t="s">
        <v>11</v>
      </c>
      <c r="F8" s="87"/>
      <c r="G8" s="87"/>
      <c r="H8" s="89"/>
      <c r="I8" s="89"/>
      <c r="J8" s="90" t="s">
        <v>14</v>
      </c>
      <c r="K8" s="90">
        <f>SUMIF(E2:E11,"west",D2:D11)</f>
        <v>1750</v>
      </c>
    </row>
    <row r="9" spans="1:11" ht="14.25" customHeight="1">
      <c r="A9" s="85">
        <v>168</v>
      </c>
      <c r="B9" s="86">
        <v>45130</v>
      </c>
      <c r="C9" s="85" t="s">
        <v>15</v>
      </c>
      <c r="D9" s="85">
        <v>750</v>
      </c>
      <c r="E9" s="85" t="s">
        <v>14</v>
      </c>
      <c r="F9" s="87"/>
      <c r="G9" s="87"/>
      <c r="H9" s="87"/>
      <c r="I9" s="87"/>
      <c r="J9" s="87"/>
      <c r="K9" s="87"/>
    </row>
    <row r="10" spans="1:11" ht="14.25" customHeight="1">
      <c r="A10" s="85">
        <v>169</v>
      </c>
      <c r="B10" s="86">
        <v>45133</v>
      </c>
      <c r="C10" s="85" t="s">
        <v>18</v>
      </c>
      <c r="D10" s="85">
        <v>1350</v>
      </c>
      <c r="E10" s="85" t="s">
        <v>13</v>
      </c>
      <c r="F10" s="87"/>
      <c r="G10" s="87"/>
      <c r="H10" s="87"/>
      <c r="I10" s="87"/>
      <c r="J10" s="87"/>
      <c r="K10" s="87"/>
    </row>
    <row r="11" spans="1:11" ht="14.25" customHeight="1">
      <c r="A11" s="85">
        <v>170</v>
      </c>
      <c r="B11" s="86">
        <v>45136</v>
      </c>
      <c r="C11" s="85" t="s">
        <v>10</v>
      </c>
      <c r="D11" s="85">
        <v>1600</v>
      </c>
      <c r="E11" s="85" t="s">
        <v>17</v>
      </c>
      <c r="F11" s="87"/>
      <c r="G11" s="87"/>
      <c r="H11" s="87"/>
      <c r="I11" s="87"/>
      <c r="J11" s="87"/>
      <c r="K11" s="87"/>
    </row>
    <row r="12" spans="1:11" ht="14.25" customHeight="1"/>
    <row r="13" spans="1:11" ht="14.25" customHeight="1"/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0"/>
  <sheetViews>
    <sheetView workbookViewId="0"/>
  </sheetViews>
  <sheetFormatPr defaultColWidth="12.6328125" defaultRowHeight="15" customHeight="1"/>
  <cols>
    <col min="1" max="2" width="8.6328125" customWidth="1"/>
    <col min="3" max="3" width="11.90625" customWidth="1"/>
    <col min="4" max="7" width="8.6328125" customWidth="1"/>
    <col min="8" max="8" width="11.26953125" customWidth="1"/>
    <col min="9" max="9" width="14" customWidth="1"/>
    <col min="10" max="10" width="8.6328125" customWidth="1"/>
    <col min="11" max="11" width="12.08984375" customWidth="1"/>
    <col min="12" max="26" width="8.6328125" customWidth="1"/>
  </cols>
  <sheetData>
    <row r="1" spans="1:11" ht="14.25" customHeight="1">
      <c r="A1" s="91" t="s">
        <v>0</v>
      </c>
      <c r="B1" s="91" t="s">
        <v>1</v>
      </c>
      <c r="C1" s="91" t="s">
        <v>2</v>
      </c>
      <c r="D1" s="91" t="s">
        <v>3</v>
      </c>
      <c r="E1" s="91" t="s">
        <v>4</v>
      </c>
      <c r="F1" s="92"/>
      <c r="G1" s="93" t="s">
        <v>5</v>
      </c>
      <c r="H1" s="94" t="s">
        <v>6</v>
      </c>
      <c r="I1" s="95" t="s">
        <v>7</v>
      </c>
      <c r="J1" s="95" t="s">
        <v>4</v>
      </c>
      <c r="K1" s="95" t="s">
        <v>9</v>
      </c>
    </row>
    <row r="2" spans="1:11" ht="14.25" customHeight="1">
      <c r="A2" s="96">
        <v>171</v>
      </c>
      <c r="B2" s="97">
        <v>45139</v>
      </c>
      <c r="C2" s="96" t="s">
        <v>10</v>
      </c>
      <c r="D2" s="96">
        <v>1350</v>
      </c>
      <c r="E2" s="96" t="s">
        <v>11</v>
      </c>
      <c r="F2" s="98"/>
      <c r="G2" s="99">
        <f>SUM(D2:D11)</f>
        <v>11900</v>
      </c>
      <c r="H2" s="100" t="s">
        <v>10</v>
      </c>
      <c r="I2" s="100">
        <f>SUMIF(C2:C11,"ELECTRONICS",D2:D11)</f>
        <v>5400</v>
      </c>
      <c r="J2" s="101" t="s">
        <v>11</v>
      </c>
      <c r="K2" s="101">
        <f>SUMIF(E2:E11,"north",D2:D11)</f>
        <v>2850</v>
      </c>
    </row>
    <row r="3" spans="1:11" ht="14.25" customHeight="1">
      <c r="A3" s="96">
        <v>172</v>
      </c>
      <c r="B3" s="97">
        <v>45142</v>
      </c>
      <c r="C3" s="96" t="s">
        <v>15</v>
      </c>
      <c r="D3" s="96">
        <v>650</v>
      </c>
      <c r="E3" s="96" t="s">
        <v>17</v>
      </c>
      <c r="F3" s="98"/>
      <c r="G3" s="98"/>
      <c r="H3" s="100"/>
      <c r="I3" s="100"/>
      <c r="J3" s="101"/>
      <c r="K3" s="101"/>
    </row>
    <row r="4" spans="1:11" ht="14.25" customHeight="1">
      <c r="A4" s="96">
        <v>173</v>
      </c>
      <c r="B4" s="97">
        <v>45145</v>
      </c>
      <c r="C4" s="96" t="s">
        <v>18</v>
      </c>
      <c r="D4" s="96">
        <v>1450</v>
      </c>
      <c r="E4" s="96" t="s">
        <v>13</v>
      </c>
      <c r="F4" s="98"/>
      <c r="G4" s="98"/>
      <c r="H4" s="100" t="s">
        <v>15</v>
      </c>
      <c r="I4" s="100">
        <f>SUMIF(C2:C11,"clothing",D2:D11)</f>
        <v>2200</v>
      </c>
      <c r="J4" s="101" t="s">
        <v>13</v>
      </c>
      <c r="K4" s="101">
        <f>SUMIF(E2:E11,"south",D2:D11)</f>
        <v>3700</v>
      </c>
    </row>
    <row r="5" spans="1:11" ht="14.25" customHeight="1">
      <c r="A5" s="96">
        <v>174</v>
      </c>
      <c r="B5" s="97">
        <v>45148</v>
      </c>
      <c r="C5" s="96" t="s">
        <v>10</v>
      </c>
      <c r="D5" s="96">
        <v>900</v>
      </c>
      <c r="E5" s="96" t="s">
        <v>14</v>
      </c>
      <c r="F5" s="98"/>
      <c r="G5" s="98"/>
      <c r="H5" s="100"/>
      <c r="I5" s="100"/>
      <c r="J5" s="101"/>
      <c r="K5" s="101"/>
    </row>
    <row r="6" spans="1:11" ht="14.25" customHeight="1">
      <c r="A6" s="96">
        <v>175</v>
      </c>
      <c r="B6" s="97">
        <v>45151</v>
      </c>
      <c r="C6" s="96" t="s">
        <v>15</v>
      </c>
      <c r="D6" s="96">
        <v>700</v>
      </c>
      <c r="E6" s="96" t="s">
        <v>13</v>
      </c>
      <c r="F6" s="98"/>
      <c r="G6" s="98"/>
      <c r="H6" s="100" t="s">
        <v>18</v>
      </c>
      <c r="I6" s="100">
        <f>SUMIF(C2:C11,"furniture",D2:D11)</f>
        <v>4300</v>
      </c>
      <c r="J6" s="101" t="s">
        <v>17</v>
      </c>
      <c r="K6" s="101">
        <f>SUMIF(E2:E11,"east",D2:D11)</f>
        <v>3600</v>
      </c>
    </row>
    <row r="7" spans="1:11" ht="14.25" customHeight="1">
      <c r="A7" s="96">
        <v>176</v>
      </c>
      <c r="B7" s="97">
        <v>45154</v>
      </c>
      <c r="C7" s="96" t="s">
        <v>18</v>
      </c>
      <c r="D7" s="96">
        <v>1300</v>
      </c>
      <c r="E7" s="96" t="s">
        <v>17</v>
      </c>
      <c r="F7" s="98"/>
      <c r="G7" s="98"/>
      <c r="H7" s="100"/>
      <c r="I7" s="100"/>
      <c r="J7" s="101"/>
      <c r="K7" s="101"/>
    </row>
    <row r="8" spans="1:11" ht="14.25" customHeight="1">
      <c r="A8" s="96">
        <v>177</v>
      </c>
      <c r="B8" s="97">
        <v>45157</v>
      </c>
      <c r="C8" s="96" t="s">
        <v>10</v>
      </c>
      <c r="D8" s="96">
        <v>1500</v>
      </c>
      <c r="E8" s="96" t="s">
        <v>11</v>
      </c>
      <c r="F8" s="98"/>
      <c r="G8" s="98"/>
      <c r="H8" s="100"/>
      <c r="I8" s="100"/>
      <c r="J8" s="101" t="s">
        <v>14</v>
      </c>
      <c r="K8" s="101">
        <f>SUMIF(E2:E11,"west",D2:D11)</f>
        <v>1750</v>
      </c>
    </row>
    <row r="9" spans="1:11" ht="14.25" customHeight="1">
      <c r="A9" s="96">
        <v>178</v>
      </c>
      <c r="B9" s="97">
        <v>45160</v>
      </c>
      <c r="C9" s="96" t="s">
        <v>15</v>
      </c>
      <c r="D9" s="96">
        <v>850</v>
      </c>
      <c r="E9" s="96" t="s">
        <v>14</v>
      </c>
      <c r="F9" s="98"/>
      <c r="G9" s="98"/>
      <c r="H9" s="98"/>
      <c r="I9" s="98"/>
      <c r="J9" s="98"/>
      <c r="K9" s="98"/>
    </row>
    <row r="10" spans="1:11" ht="14.25" customHeight="1">
      <c r="A10" s="96">
        <v>179</v>
      </c>
      <c r="B10" s="97">
        <v>45163</v>
      </c>
      <c r="C10" s="96" t="s">
        <v>18</v>
      </c>
      <c r="D10" s="96">
        <v>1550</v>
      </c>
      <c r="E10" s="96" t="s">
        <v>13</v>
      </c>
      <c r="F10" s="98"/>
      <c r="G10" s="98"/>
      <c r="H10" s="98"/>
      <c r="I10" s="98"/>
      <c r="J10" s="98"/>
      <c r="K10" s="98"/>
    </row>
    <row r="11" spans="1:11" ht="14.25" customHeight="1">
      <c r="A11" s="96">
        <v>180</v>
      </c>
      <c r="B11" s="97">
        <v>45166</v>
      </c>
      <c r="C11" s="96" t="s">
        <v>10</v>
      </c>
      <c r="D11" s="96">
        <v>1650</v>
      </c>
      <c r="E11" s="96" t="s">
        <v>17</v>
      </c>
      <c r="F11" s="98"/>
      <c r="G11" s="98"/>
      <c r="H11" s="98"/>
      <c r="I11" s="98"/>
      <c r="J11" s="98"/>
      <c r="K11" s="98"/>
    </row>
    <row r="12" spans="1:11" ht="14.25" customHeight="1"/>
    <row r="13" spans="1:11" ht="14.25" customHeight="1"/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0"/>
  <sheetViews>
    <sheetView workbookViewId="0"/>
  </sheetViews>
  <sheetFormatPr defaultColWidth="12.6328125" defaultRowHeight="15" customHeight="1"/>
  <cols>
    <col min="1" max="2" width="8.6328125" customWidth="1"/>
    <col min="3" max="3" width="13" customWidth="1"/>
    <col min="4" max="7" width="8.6328125" customWidth="1"/>
    <col min="8" max="8" width="12.36328125" customWidth="1"/>
    <col min="9" max="9" width="14" customWidth="1"/>
    <col min="10" max="10" width="8.6328125" customWidth="1"/>
    <col min="11" max="11" width="12.6328125" customWidth="1"/>
    <col min="12" max="26" width="8.6328125" customWidth="1"/>
  </cols>
  <sheetData>
    <row r="1" spans="1:11" ht="14.25" customHeight="1">
      <c r="A1" s="102" t="s">
        <v>0</v>
      </c>
      <c r="B1" s="102" t="s">
        <v>1</v>
      </c>
      <c r="C1" s="102" t="s">
        <v>2</v>
      </c>
      <c r="D1" s="102" t="s">
        <v>3</v>
      </c>
      <c r="E1" s="102" t="s">
        <v>4</v>
      </c>
      <c r="F1" s="103"/>
      <c r="G1" s="104" t="s">
        <v>5</v>
      </c>
      <c r="H1" s="105" t="s">
        <v>6</v>
      </c>
      <c r="I1" s="106" t="s">
        <v>7</v>
      </c>
      <c r="J1" s="106" t="s">
        <v>4</v>
      </c>
      <c r="K1" s="106" t="s">
        <v>9</v>
      </c>
    </row>
    <row r="2" spans="1:11" ht="14.25" customHeight="1">
      <c r="A2" s="107">
        <v>181</v>
      </c>
      <c r="B2" s="108">
        <v>45170</v>
      </c>
      <c r="C2" s="107" t="s">
        <v>10</v>
      </c>
      <c r="D2" s="107">
        <v>1400</v>
      </c>
      <c r="E2" s="107" t="s">
        <v>11</v>
      </c>
      <c r="F2" s="109"/>
      <c r="G2" s="110">
        <f>SUM(D2:D11)</f>
        <v>11900</v>
      </c>
      <c r="H2" s="110" t="s">
        <v>10</v>
      </c>
      <c r="I2" s="110">
        <f>SUMIF(C2:C11,"ELECTRONICS",D2:D11)</f>
        <v>5550</v>
      </c>
      <c r="J2" s="110" t="s">
        <v>11</v>
      </c>
      <c r="K2" s="110">
        <f>SUMIF(E2:E11,"north",D2:D11)</f>
        <v>2850</v>
      </c>
    </row>
    <row r="3" spans="1:11" ht="14.25" customHeight="1">
      <c r="A3" s="107">
        <v>182</v>
      </c>
      <c r="B3" s="108">
        <v>45173</v>
      </c>
      <c r="C3" s="107" t="s">
        <v>15</v>
      </c>
      <c r="D3" s="107">
        <v>750</v>
      </c>
      <c r="E3" s="107" t="s">
        <v>17</v>
      </c>
      <c r="F3" s="109"/>
      <c r="G3" s="110"/>
      <c r="H3" s="110"/>
      <c r="I3" s="110"/>
      <c r="J3" s="110"/>
      <c r="K3" s="110"/>
    </row>
    <row r="4" spans="1:11" ht="14.25" customHeight="1">
      <c r="A4" s="107">
        <v>183</v>
      </c>
      <c r="B4" s="108">
        <v>45176</v>
      </c>
      <c r="C4" s="107" t="s">
        <v>18</v>
      </c>
      <c r="D4" s="107">
        <v>1600</v>
      </c>
      <c r="E4" s="107" t="s">
        <v>13</v>
      </c>
      <c r="F4" s="109"/>
      <c r="G4" s="110"/>
      <c r="H4" s="110" t="s">
        <v>15</v>
      </c>
      <c r="I4" s="110">
        <f>SUMIF(C2:C11,"clothing",D2:D11)</f>
        <v>2150</v>
      </c>
      <c r="J4" s="110" t="s">
        <v>13</v>
      </c>
      <c r="K4" s="110">
        <f>SUMIF(E2:E11,"south",D2:D11)</f>
        <v>3550</v>
      </c>
    </row>
    <row r="5" spans="1:11" ht="14.25" customHeight="1">
      <c r="A5" s="107">
        <v>184</v>
      </c>
      <c r="B5" s="108">
        <v>45179</v>
      </c>
      <c r="C5" s="107" t="s">
        <v>10</v>
      </c>
      <c r="D5" s="107">
        <v>1000</v>
      </c>
      <c r="E5" s="107" t="s">
        <v>14</v>
      </c>
      <c r="F5" s="109"/>
      <c r="G5" s="110"/>
      <c r="H5" s="110"/>
      <c r="I5" s="110"/>
      <c r="J5" s="110"/>
      <c r="K5" s="110"/>
    </row>
    <row r="6" spans="1:11" ht="14.25" customHeight="1">
      <c r="A6" s="107">
        <v>185</v>
      </c>
      <c r="B6" s="108">
        <v>45182</v>
      </c>
      <c r="C6" s="107" t="s">
        <v>15</v>
      </c>
      <c r="D6" s="107">
        <v>600</v>
      </c>
      <c r="E6" s="107" t="s">
        <v>13</v>
      </c>
      <c r="F6" s="109"/>
      <c r="G6" s="110"/>
      <c r="H6" s="110" t="s">
        <v>18</v>
      </c>
      <c r="I6" s="110">
        <f>SUMIF(C2:C11,"furniture",D2:D11)</f>
        <v>4200</v>
      </c>
      <c r="J6" s="110" t="s">
        <v>17</v>
      </c>
      <c r="K6" s="110">
        <f>SUMIF(E2:E11,"east",D2:D11)</f>
        <v>3700</v>
      </c>
    </row>
    <row r="7" spans="1:11" ht="14.25" customHeight="1">
      <c r="A7" s="107">
        <v>186</v>
      </c>
      <c r="B7" s="108">
        <v>45185</v>
      </c>
      <c r="C7" s="107" t="s">
        <v>18</v>
      </c>
      <c r="D7" s="107">
        <v>1250</v>
      </c>
      <c r="E7" s="107" t="s">
        <v>17</v>
      </c>
      <c r="F7" s="109"/>
      <c r="G7" s="110"/>
      <c r="H7" s="110"/>
      <c r="I7" s="110"/>
      <c r="J7" s="110"/>
      <c r="K7" s="110"/>
    </row>
    <row r="8" spans="1:11" ht="14.25" customHeight="1">
      <c r="A8" s="107">
        <v>187</v>
      </c>
      <c r="B8" s="108">
        <v>45188</v>
      </c>
      <c r="C8" s="107" t="s">
        <v>10</v>
      </c>
      <c r="D8" s="107">
        <v>1450</v>
      </c>
      <c r="E8" s="107" t="s">
        <v>11</v>
      </c>
      <c r="F8" s="109"/>
      <c r="G8" s="110"/>
      <c r="H8" s="110"/>
      <c r="I8" s="110"/>
      <c r="J8" s="110" t="s">
        <v>14</v>
      </c>
      <c r="K8" s="110">
        <f>SUMIF(E2:E11,"west",D2:D11)</f>
        <v>1800</v>
      </c>
    </row>
    <row r="9" spans="1:11" ht="14.25" customHeight="1">
      <c r="A9" s="107">
        <v>188</v>
      </c>
      <c r="B9" s="108">
        <v>45191</v>
      </c>
      <c r="C9" s="107" t="s">
        <v>15</v>
      </c>
      <c r="D9" s="107">
        <v>800</v>
      </c>
      <c r="E9" s="107" t="s">
        <v>14</v>
      </c>
      <c r="F9" s="109"/>
      <c r="G9" s="109"/>
      <c r="H9" s="109"/>
      <c r="I9" s="109"/>
      <c r="J9" s="109"/>
      <c r="K9" s="109"/>
    </row>
    <row r="10" spans="1:11" ht="14.25" customHeight="1">
      <c r="A10" s="107">
        <v>189</v>
      </c>
      <c r="B10" s="108">
        <v>45194</v>
      </c>
      <c r="C10" s="107" t="s">
        <v>18</v>
      </c>
      <c r="D10" s="107">
        <v>1350</v>
      </c>
      <c r="E10" s="107" t="s">
        <v>13</v>
      </c>
      <c r="F10" s="109"/>
      <c r="G10" s="109"/>
      <c r="H10" s="109"/>
      <c r="I10" s="109"/>
      <c r="J10" s="109"/>
      <c r="K10" s="109"/>
    </row>
    <row r="11" spans="1:11" ht="14.25" customHeight="1">
      <c r="A11" s="107">
        <v>190</v>
      </c>
      <c r="B11" s="108">
        <v>45197</v>
      </c>
      <c r="C11" s="107" t="s">
        <v>10</v>
      </c>
      <c r="D11" s="107">
        <v>1700</v>
      </c>
      <c r="E11" s="107" t="s">
        <v>17</v>
      </c>
      <c r="F11" s="109"/>
      <c r="G11" s="109"/>
      <c r="H11" s="109"/>
      <c r="I11" s="109"/>
      <c r="J11" s="109"/>
      <c r="K11" s="109"/>
    </row>
    <row r="12" spans="1:11" ht="14.25" customHeight="1"/>
    <row r="13" spans="1:11" ht="14.25" customHeight="1"/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00"/>
  <sheetViews>
    <sheetView workbookViewId="0"/>
  </sheetViews>
  <sheetFormatPr defaultColWidth="12.6328125" defaultRowHeight="15" customHeight="1"/>
  <cols>
    <col min="1" max="2" width="8.6328125" customWidth="1"/>
    <col min="3" max="3" width="12.26953125" customWidth="1"/>
    <col min="4" max="7" width="8.6328125" customWidth="1"/>
    <col min="8" max="8" width="11.90625" customWidth="1"/>
    <col min="9" max="9" width="13.453125" customWidth="1"/>
    <col min="10" max="10" width="8.6328125" customWidth="1"/>
    <col min="11" max="11" width="12.08984375" customWidth="1"/>
    <col min="12" max="26" width="8.6328125" customWidth="1"/>
  </cols>
  <sheetData>
    <row r="1" spans="1:11" ht="14.25" customHeight="1">
      <c r="A1" s="111" t="s">
        <v>0</v>
      </c>
      <c r="B1" s="111" t="s">
        <v>1</v>
      </c>
      <c r="C1" s="111" t="s">
        <v>2</v>
      </c>
      <c r="D1" s="111" t="s">
        <v>3</v>
      </c>
      <c r="E1" s="111" t="s">
        <v>4</v>
      </c>
      <c r="F1" s="112"/>
      <c r="G1" s="113" t="s">
        <v>5</v>
      </c>
      <c r="H1" s="114" t="s">
        <v>6</v>
      </c>
      <c r="I1" s="115" t="s">
        <v>7</v>
      </c>
      <c r="J1" s="115" t="s">
        <v>4</v>
      </c>
      <c r="K1" s="115" t="s">
        <v>9</v>
      </c>
    </row>
    <row r="2" spans="1:11" ht="14.25" customHeight="1">
      <c r="A2" s="116">
        <v>191</v>
      </c>
      <c r="B2" s="117">
        <v>45200</v>
      </c>
      <c r="C2" s="116" t="s">
        <v>10</v>
      </c>
      <c r="D2" s="116">
        <v>1450</v>
      </c>
      <c r="E2" s="116" t="s">
        <v>11</v>
      </c>
      <c r="F2" s="118"/>
      <c r="G2" s="119">
        <f>SUM(D2:D11)</f>
        <v>12400</v>
      </c>
      <c r="H2" s="120" t="s">
        <v>10</v>
      </c>
      <c r="I2" s="119">
        <f>SUMIF(C2:C11,"ELECTRONICS",D2:D11)</f>
        <v>5550</v>
      </c>
      <c r="J2" s="120" t="s">
        <v>11</v>
      </c>
      <c r="K2" s="119">
        <f>SUMIF(E2:E11,"north",D2:D11)</f>
        <v>2950</v>
      </c>
    </row>
    <row r="3" spans="1:11" ht="14.25" customHeight="1">
      <c r="A3" s="116">
        <v>192</v>
      </c>
      <c r="B3" s="117">
        <v>45203</v>
      </c>
      <c r="C3" s="116" t="s">
        <v>15</v>
      </c>
      <c r="D3" s="116">
        <v>750</v>
      </c>
      <c r="E3" s="116" t="s">
        <v>17</v>
      </c>
      <c r="F3" s="118"/>
      <c r="G3" s="119"/>
      <c r="H3" s="119"/>
      <c r="I3" s="119"/>
      <c r="J3" s="119"/>
      <c r="K3" s="119"/>
    </row>
    <row r="4" spans="1:11" ht="14.25" customHeight="1">
      <c r="A4" s="116">
        <v>193</v>
      </c>
      <c r="B4" s="117">
        <v>45206</v>
      </c>
      <c r="C4" s="116" t="s">
        <v>18</v>
      </c>
      <c r="D4" s="116">
        <v>1550</v>
      </c>
      <c r="E4" s="116" t="s">
        <v>13</v>
      </c>
      <c r="F4" s="118"/>
      <c r="G4" s="119"/>
      <c r="H4" s="120" t="s">
        <v>15</v>
      </c>
      <c r="I4" s="119">
        <f>SUMIF(C2:C11,"clothing",D2:D11)</f>
        <v>2300</v>
      </c>
      <c r="J4" s="120" t="s">
        <v>13</v>
      </c>
      <c r="K4" s="119">
        <f>SUMIF(E2:E11,"south",D2:D11)</f>
        <v>3900</v>
      </c>
    </row>
    <row r="5" spans="1:11" ht="14.25" customHeight="1">
      <c r="A5" s="116">
        <v>194</v>
      </c>
      <c r="B5" s="117">
        <v>45209</v>
      </c>
      <c r="C5" s="116" t="s">
        <v>10</v>
      </c>
      <c r="D5" s="116">
        <v>900</v>
      </c>
      <c r="E5" s="116" t="s">
        <v>14</v>
      </c>
      <c r="F5" s="118"/>
      <c r="G5" s="119"/>
      <c r="H5" s="119"/>
      <c r="I5" s="119"/>
      <c r="J5" s="119"/>
      <c r="K5" s="119"/>
    </row>
    <row r="6" spans="1:11" ht="14.25" customHeight="1">
      <c r="A6" s="116">
        <v>195</v>
      </c>
      <c r="B6" s="117">
        <v>45212</v>
      </c>
      <c r="C6" s="116" t="s">
        <v>15</v>
      </c>
      <c r="D6" s="116">
        <v>700</v>
      </c>
      <c r="E6" s="116" t="s">
        <v>13</v>
      </c>
      <c r="F6" s="118"/>
      <c r="G6" s="119"/>
      <c r="H6" s="120" t="s">
        <v>18</v>
      </c>
      <c r="I6" s="119">
        <f>SUMIF(C2:C11,"furniture",D2:D11)</f>
        <v>4550</v>
      </c>
      <c r="J6" s="120" t="s">
        <v>17</v>
      </c>
      <c r="K6" s="119">
        <f>SUMIF(E2:E11,"east",D2:D11)</f>
        <v>3800</v>
      </c>
    </row>
    <row r="7" spans="1:11" ht="14.25" customHeight="1">
      <c r="A7" s="116">
        <v>196</v>
      </c>
      <c r="B7" s="117">
        <v>45215</v>
      </c>
      <c r="C7" s="116" t="s">
        <v>18</v>
      </c>
      <c r="D7" s="116">
        <v>1350</v>
      </c>
      <c r="E7" s="116" t="s">
        <v>17</v>
      </c>
      <c r="F7" s="118"/>
      <c r="G7" s="119"/>
      <c r="H7" s="119"/>
      <c r="I7" s="119"/>
      <c r="J7" s="119"/>
      <c r="K7" s="119"/>
    </row>
    <row r="8" spans="1:11" ht="14.25" customHeight="1">
      <c r="A8" s="116">
        <v>197</v>
      </c>
      <c r="B8" s="117">
        <v>45218</v>
      </c>
      <c r="C8" s="116" t="s">
        <v>10</v>
      </c>
      <c r="D8" s="116">
        <v>1500</v>
      </c>
      <c r="E8" s="116" t="s">
        <v>11</v>
      </c>
      <c r="F8" s="118"/>
      <c r="G8" s="119"/>
      <c r="H8" s="119"/>
      <c r="I8" s="119"/>
      <c r="J8" s="120" t="s">
        <v>14</v>
      </c>
      <c r="K8" s="119">
        <f>SUMIF(E2:E11,"west",D2:D11)</f>
        <v>1750</v>
      </c>
    </row>
    <row r="9" spans="1:11" ht="14.25" customHeight="1">
      <c r="A9" s="116">
        <v>198</v>
      </c>
      <c r="B9" s="117">
        <v>45221</v>
      </c>
      <c r="C9" s="116" t="s">
        <v>15</v>
      </c>
      <c r="D9" s="116">
        <v>850</v>
      </c>
      <c r="E9" s="116" t="s">
        <v>14</v>
      </c>
      <c r="F9" s="118"/>
      <c r="G9" s="118"/>
      <c r="H9" s="118"/>
      <c r="I9" s="118"/>
      <c r="J9" s="118"/>
      <c r="K9" s="118"/>
    </row>
    <row r="10" spans="1:11" ht="14.25" customHeight="1">
      <c r="A10" s="116">
        <v>199</v>
      </c>
      <c r="B10" s="117">
        <v>45224</v>
      </c>
      <c r="C10" s="116" t="s">
        <v>18</v>
      </c>
      <c r="D10" s="116">
        <v>1650</v>
      </c>
      <c r="E10" s="116" t="s">
        <v>13</v>
      </c>
      <c r="F10" s="118"/>
      <c r="G10" s="118"/>
      <c r="H10" s="118"/>
      <c r="I10" s="118"/>
      <c r="J10" s="118"/>
      <c r="K10" s="118"/>
    </row>
    <row r="11" spans="1:11" ht="14.25" customHeight="1">
      <c r="A11" s="116">
        <v>200</v>
      </c>
      <c r="B11" s="117">
        <v>45227</v>
      </c>
      <c r="C11" s="116" t="s">
        <v>10</v>
      </c>
      <c r="D11" s="116">
        <v>1700</v>
      </c>
      <c r="E11" s="116" t="s">
        <v>17</v>
      </c>
      <c r="F11" s="118"/>
      <c r="G11" s="118"/>
      <c r="H11" s="118"/>
      <c r="I11" s="118"/>
      <c r="J11" s="118"/>
      <c r="K11" s="118"/>
    </row>
    <row r="12" spans="1:11" ht="14.25" customHeight="1"/>
    <row r="13" spans="1:11" ht="14.25" customHeight="1"/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00"/>
  <sheetViews>
    <sheetView workbookViewId="0"/>
  </sheetViews>
  <sheetFormatPr defaultColWidth="12.6328125" defaultRowHeight="15" customHeight="1"/>
  <cols>
    <col min="1" max="2" width="8.6328125" customWidth="1"/>
    <col min="3" max="3" width="11.453125" customWidth="1"/>
    <col min="4" max="7" width="8.6328125" customWidth="1"/>
    <col min="8" max="8" width="10.36328125" customWidth="1"/>
    <col min="9" max="9" width="16.7265625" customWidth="1"/>
    <col min="10" max="10" width="8.6328125" customWidth="1"/>
    <col min="11" max="11" width="12.7265625" customWidth="1"/>
    <col min="12" max="26" width="8.6328125" customWidth="1"/>
  </cols>
  <sheetData>
    <row r="1" spans="1:11" ht="14.25" customHeight="1">
      <c r="A1" s="121" t="s">
        <v>0</v>
      </c>
      <c r="B1" s="121" t="s">
        <v>1</v>
      </c>
      <c r="C1" s="121" t="s">
        <v>2</v>
      </c>
      <c r="D1" s="121" t="s">
        <v>3</v>
      </c>
      <c r="E1" s="121" t="s">
        <v>4</v>
      </c>
      <c r="F1" s="122"/>
      <c r="G1" s="123" t="s">
        <v>5</v>
      </c>
      <c r="H1" s="124" t="s">
        <v>6</v>
      </c>
      <c r="I1" s="125" t="s">
        <v>7</v>
      </c>
      <c r="J1" s="125" t="s">
        <v>4</v>
      </c>
      <c r="K1" s="125" t="s">
        <v>9</v>
      </c>
    </row>
    <row r="2" spans="1:11" ht="14.25" customHeight="1">
      <c r="A2" s="126">
        <v>201</v>
      </c>
      <c r="B2" s="127">
        <v>45231</v>
      </c>
      <c r="C2" s="126" t="s">
        <v>10</v>
      </c>
      <c r="D2" s="126">
        <v>1300</v>
      </c>
      <c r="E2" s="126" t="s">
        <v>11</v>
      </c>
      <c r="F2" s="128"/>
      <c r="G2" s="129">
        <f>SUM(D2:D11)</f>
        <v>11600</v>
      </c>
      <c r="H2" s="129" t="s">
        <v>10</v>
      </c>
      <c r="I2" s="129">
        <f>SUMIF(C2:C11,"ELECTRONICS",D2:D11)</f>
        <v>5350</v>
      </c>
      <c r="J2" s="129" t="s">
        <v>11</v>
      </c>
      <c r="K2" s="129">
        <f>SUMIF(E2:E11,"north",D2:D11)</f>
        <v>2700</v>
      </c>
    </row>
    <row r="3" spans="1:11" ht="14.25" customHeight="1">
      <c r="A3" s="126">
        <v>202</v>
      </c>
      <c r="B3" s="127">
        <v>45234</v>
      </c>
      <c r="C3" s="126" t="s">
        <v>15</v>
      </c>
      <c r="D3" s="126">
        <v>700</v>
      </c>
      <c r="E3" s="126" t="s">
        <v>17</v>
      </c>
      <c r="F3" s="128"/>
      <c r="G3" s="129"/>
      <c r="H3" s="129"/>
      <c r="I3" s="129"/>
      <c r="J3" s="129"/>
      <c r="K3" s="129"/>
    </row>
    <row r="4" spans="1:11" ht="14.25" customHeight="1">
      <c r="A4" s="126">
        <v>203</v>
      </c>
      <c r="B4" s="127">
        <v>45237</v>
      </c>
      <c r="C4" s="126" t="s">
        <v>18</v>
      </c>
      <c r="D4" s="126">
        <v>1600</v>
      </c>
      <c r="E4" s="126" t="s">
        <v>13</v>
      </c>
      <c r="F4" s="128"/>
      <c r="G4" s="129"/>
      <c r="H4" s="129" t="s">
        <v>15</v>
      </c>
      <c r="I4" s="129">
        <f>SUMIF(C2:C11,"clothing",D2:D11)</f>
        <v>2150</v>
      </c>
      <c r="J4" s="129" t="s">
        <v>21</v>
      </c>
      <c r="K4" s="129">
        <f>SUMIF(E2:E11,"south",D2:D11)</f>
        <v>3550</v>
      </c>
    </row>
    <row r="5" spans="1:11" ht="14.25" customHeight="1">
      <c r="A5" s="126">
        <v>204</v>
      </c>
      <c r="B5" s="127">
        <v>45240</v>
      </c>
      <c r="C5" s="126" t="s">
        <v>10</v>
      </c>
      <c r="D5" s="126">
        <v>1000</v>
      </c>
      <c r="E5" s="126" t="s">
        <v>14</v>
      </c>
      <c r="F5" s="128"/>
      <c r="G5" s="129"/>
      <c r="H5" s="129"/>
      <c r="I5" s="129"/>
      <c r="J5" s="129"/>
      <c r="K5" s="129"/>
    </row>
    <row r="6" spans="1:11" ht="14.25" customHeight="1">
      <c r="A6" s="126">
        <v>205</v>
      </c>
      <c r="B6" s="127">
        <v>45243</v>
      </c>
      <c r="C6" s="126" t="s">
        <v>15</v>
      </c>
      <c r="D6" s="126">
        <v>650</v>
      </c>
      <c r="E6" s="126" t="s">
        <v>13</v>
      </c>
      <c r="F6" s="128"/>
      <c r="G6" s="129"/>
      <c r="H6" s="129" t="s">
        <v>18</v>
      </c>
      <c r="I6" s="129">
        <f>SUMIF(C2:C11,"furniture",D2:D11)</f>
        <v>4100</v>
      </c>
      <c r="J6" s="129" t="s">
        <v>14</v>
      </c>
      <c r="K6" s="129">
        <f>SUMIF(E2:E11,"west",D2:D11)</f>
        <v>1800</v>
      </c>
    </row>
    <row r="7" spans="1:11" ht="14.25" customHeight="1">
      <c r="A7" s="126">
        <v>206</v>
      </c>
      <c r="B7" s="127">
        <v>45246</v>
      </c>
      <c r="C7" s="126" t="s">
        <v>18</v>
      </c>
      <c r="D7" s="126">
        <v>1200</v>
      </c>
      <c r="E7" s="126" t="s">
        <v>17</v>
      </c>
      <c r="F7" s="128"/>
      <c r="G7" s="129"/>
      <c r="H7" s="129"/>
      <c r="I7" s="129"/>
      <c r="J7" s="129"/>
      <c r="K7" s="129"/>
    </row>
    <row r="8" spans="1:11" ht="14.25" customHeight="1">
      <c r="A8" s="126">
        <v>207</v>
      </c>
      <c r="B8" s="127">
        <v>45249</v>
      </c>
      <c r="C8" s="126" t="s">
        <v>10</v>
      </c>
      <c r="D8" s="126">
        <v>1400</v>
      </c>
      <c r="E8" s="126" t="s">
        <v>11</v>
      </c>
      <c r="F8" s="128"/>
      <c r="G8" s="129"/>
      <c r="H8" s="129"/>
      <c r="I8" s="129"/>
      <c r="J8" s="129" t="s">
        <v>17</v>
      </c>
      <c r="K8" s="129">
        <f>SUMIF(E2:E11,"east",D2:D11)</f>
        <v>3550</v>
      </c>
    </row>
    <row r="9" spans="1:11" ht="14.25" customHeight="1">
      <c r="A9" s="126">
        <v>208</v>
      </c>
      <c r="B9" s="127">
        <v>45252</v>
      </c>
      <c r="C9" s="126" t="s">
        <v>15</v>
      </c>
      <c r="D9" s="126">
        <v>800</v>
      </c>
      <c r="E9" s="126" t="s">
        <v>14</v>
      </c>
      <c r="F9" s="128"/>
      <c r="G9" s="128"/>
      <c r="H9" s="128"/>
      <c r="I9" s="128"/>
      <c r="J9" s="128"/>
      <c r="K9" s="128"/>
    </row>
    <row r="10" spans="1:11" ht="14.25" customHeight="1">
      <c r="A10" s="126">
        <v>209</v>
      </c>
      <c r="B10" s="127">
        <v>45255</v>
      </c>
      <c r="C10" s="126" t="s">
        <v>18</v>
      </c>
      <c r="D10" s="126">
        <v>1300</v>
      </c>
      <c r="E10" s="126" t="s">
        <v>13</v>
      </c>
      <c r="F10" s="128"/>
      <c r="G10" s="128"/>
      <c r="H10" s="128"/>
      <c r="I10" s="128"/>
      <c r="J10" s="128"/>
      <c r="K10" s="128"/>
    </row>
    <row r="11" spans="1:11" ht="14.25" customHeight="1">
      <c r="A11" s="126">
        <v>210</v>
      </c>
      <c r="B11" s="127">
        <v>45258</v>
      </c>
      <c r="C11" s="126" t="s">
        <v>10</v>
      </c>
      <c r="D11" s="126">
        <v>1650</v>
      </c>
      <c r="E11" s="126" t="s">
        <v>17</v>
      </c>
      <c r="F11" s="128"/>
      <c r="G11" s="128"/>
      <c r="H11" s="128"/>
      <c r="I11" s="128"/>
      <c r="J11" s="128"/>
      <c r="K11" s="128"/>
    </row>
    <row r="12" spans="1:11" ht="14.25" customHeight="1"/>
    <row r="13" spans="1:11" ht="14.25" customHeight="1"/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000"/>
  <sheetViews>
    <sheetView workbookViewId="0"/>
  </sheetViews>
  <sheetFormatPr defaultColWidth="12.6328125" defaultRowHeight="15" customHeight="1"/>
  <cols>
    <col min="1" max="1" width="8.453125" customWidth="1"/>
    <col min="2" max="2" width="9.90625" customWidth="1"/>
    <col min="3" max="3" width="13.90625" customWidth="1"/>
    <col min="4" max="4" width="9.36328125" customWidth="1"/>
    <col min="5" max="5" width="10.90625" customWidth="1"/>
    <col min="6" max="7" width="8.6328125" customWidth="1"/>
    <col min="8" max="8" width="12.6328125" customWidth="1"/>
    <col min="9" max="9" width="16.7265625" customWidth="1"/>
    <col min="10" max="10" width="8.6328125" customWidth="1"/>
    <col min="11" max="11" width="13.6328125" customWidth="1"/>
    <col min="12" max="26" width="8.6328125" customWidth="1"/>
  </cols>
  <sheetData>
    <row r="1" spans="1:11" ht="14.25" customHeight="1">
      <c r="A1" s="130" t="s">
        <v>0</v>
      </c>
      <c r="B1" s="130" t="s">
        <v>1</v>
      </c>
      <c r="C1" s="130" t="s">
        <v>2</v>
      </c>
      <c r="D1" s="130" t="s">
        <v>3</v>
      </c>
      <c r="E1" s="130" t="s">
        <v>4</v>
      </c>
      <c r="F1" s="131"/>
      <c r="G1" s="132" t="s">
        <v>5</v>
      </c>
      <c r="H1" s="133" t="s">
        <v>6</v>
      </c>
      <c r="I1" s="134" t="s">
        <v>7</v>
      </c>
      <c r="J1" s="134" t="s">
        <v>4</v>
      </c>
      <c r="K1" s="134" t="s">
        <v>9</v>
      </c>
    </row>
    <row r="2" spans="1:11" ht="14.25" customHeight="1">
      <c r="A2" s="135">
        <v>211</v>
      </c>
      <c r="B2" s="136">
        <v>45261</v>
      </c>
      <c r="C2" s="135" t="s">
        <v>10</v>
      </c>
      <c r="D2" s="135">
        <v>1400</v>
      </c>
      <c r="E2" s="135" t="s">
        <v>11</v>
      </c>
      <c r="F2" s="137"/>
      <c r="G2" s="137">
        <f>SUM(D2:D11)</f>
        <v>12150</v>
      </c>
      <c r="H2" s="138" t="s">
        <v>10</v>
      </c>
      <c r="I2" s="138">
        <f>SUMIF(C2:C11,"ELECTRONICS",D2:D11)</f>
        <v>5500</v>
      </c>
      <c r="J2" s="138" t="s">
        <v>11</v>
      </c>
      <c r="K2" s="138">
        <f>SUMIF(E2:E11,"north",D2:D11)</f>
        <v>2850</v>
      </c>
    </row>
    <row r="3" spans="1:11" ht="14.25" customHeight="1">
      <c r="A3" s="135">
        <v>212</v>
      </c>
      <c r="B3" s="136">
        <v>45264</v>
      </c>
      <c r="C3" s="135" t="s">
        <v>15</v>
      </c>
      <c r="D3" s="135">
        <v>750</v>
      </c>
      <c r="E3" s="135" t="s">
        <v>17</v>
      </c>
      <c r="F3" s="137"/>
      <c r="G3" s="137"/>
      <c r="H3" s="138"/>
      <c r="I3" s="138"/>
      <c r="J3" s="138"/>
      <c r="K3" s="138"/>
    </row>
    <row r="4" spans="1:11" ht="14.25" customHeight="1">
      <c r="A4" s="135">
        <v>213</v>
      </c>
      <c r="B4" s="136">
        <v>45267</v>
      </c>
      <c r="C4" s="135" t="s">
        <v>18</v>
      </c>
      <c r="D4" s="135">
        <v>1500</v>
      </c>
      <c r="E4" s="135" t="s">
        <v>13</v>
      </c>
      <c r="F4" s="137"/>
      <c r="G4" s="137"/>
      <c r="H4" s="138" t="s">
        <v>15</v>
      </c>
      <c r="I4" s="138">
        <f>SUMIF(C2:C11,"clothing",D2:D11)</f>
        <v>2200</v>
      </c>
      <c r="J4" s="138" t="s">
        <v>13</v>
      </c>
      <c r="K4" s="138">
        <f>SUMIF(E2:E11,"south",D2:D11)</f>
        <v>3700</v>
      </c>
    </row>
    <row r="5" spans="1:11" ht="14.25" customHeight="1">
      <c r="A5" s="135">
        <v>214</v>
      </c>
      <c r="B5" s="136">
        <v>45270</v>
      </c>
      <c r="C5" s="135" t="s">
        <v>10</v>
      </c>
      <c r="D5" s="135">
        <v>900</v>
      </c>
      <c r="E5" s="135" t="s">
        <v>14</v>
      </c>
      <c r="F5" s="137"/>
      <c r="G5" s="137"/>
      <c r="H5" s="138"/>
      <c r="I5" s="138"/>
      <c r="J5" s="138"/>
      <c r="K5" s="138"/>
    </row>
    <row r="6" spans="1:11" ht="14.25" customHeight="1">
      <c r="A6" s="135">
        <v>215</v>
      </c>
      <c r="B6" s="136">
        <v>45273</v>
      </c>
      <c r="C6" s="135" t="s">
        <v>15</v>
      </c>
      <c r="D6" s="135">
        <v>600</v>
      </c>
      <c r="E6" s="135" t="s">
        <v>13</v>
      </c>
      <c r="F6" s="137"/>
      <c r="G6" s="137"/>
      <c r="H6" s="138" t="s">
        <v>18</v>
      </c>
      <c r="I6" s="138">
        <f>SUMIF(C2:C11,"furniture",D2:D11)</f>
        <v>4450</v>
      </c>
      <c r="J6" s="138" t="s">
        <v>17</v>
      </c>
      <c r="K6" s="138">
        <f>SUMIF(E2:E11,"east",D2:D11)</f>
        <v>3850</v>
      </c>
    </row>
    <row r="7" spans="1:11" ht="14.25" customHeight="1">
      <c r="A7" s="135">
        <v>216</v>
      </c>
      <c r="B7" s="136">
        <v>45276</v>
      </c>
      <c r="C7" s="135" t="s">
        <v>18</v>
      </c>
      <c r="D7" s="135">
        <v>1350</v>
      </c>
      <c r="E7" s="135" t="s">
        <v>17</v>
      </c>
      <c r="F7" s="137"/>
      <c r="G7" s="137"/>
      <c r="H7" s="138"/>
      <c r="I7" s="138"/>
      <c r="J7" s="138"/>
      <c r="K7" s="138"/>
    </row>
    <row r="8" spans="1:11" ht="14.25" customHeight="1">
      <c r="A8" s="135">
        <v>217</v>
      </c>
      <c r="B8" s="136">
        <v>45279</v>
      </c>
      <c r="C8" s="135" t="s">
        <v>10</v>
      </c>
      <c r="D8" s="135">
        <v>1450</v>
      </c>
      <c r="E8" s="135" t="s">
        <v>11</v>
      </c>
      <c r="F8" s="137"/>
      <c r="G8" s="137"/>
      <c r="H8" s="138"/>
      <c r="I8" s="138"/>
      <c r="J8" s="138" t="s">
        <v>14</v>
      </c>
      <c r="K8" s="138">
        <f>SUMIF(E2:E11,"west",D2:D11)</f>
        <v>1750</v>
      </c>
    </row>
    <row r="9" spans="1:11" ht="14.25" customHeight="1">
      <c r="A9" s="135">
        <v>218</v>
      </c>
      <c r="B9" s="136">
        <v>45282</v>
      </c>
      <c r="C9" s="135" t="s">
        <v>15</v>
      </c>
      <c r="D9" s="135">
        <v>850</v>
      </c>
      <c r="E9" s="135" t="s">
        <v>14</v>
      </c>
      <c r="F9" s="137"/>
      <c r="G9" s="137"/>
      <c r="H9" s="137"/>
      <c r="I9" s="137"/>
      <c r="J9" s="137"/>
      <c r="K9" s="137"/>
    </row>
    <row r="10" spans="1:11" ht="14.25" customHeight="1">
      <c r="A10" s="135">
        <v>219</v>
      </c>
      <c r="B10" s="136">
        <v>45285</v>
      </c>
      <c r="C10" s="135" t="s">
        <v>18</v>
      </c>
      <c r="D10" s="135">
        <v>1600</v>
      </c>
      <c r="E10" s="135" t="s">
        <v>13</v>
      </c>
      <c r="F10" s="137"/>
      <c r="G10" s="137"/>
      <c r="H10" s="137"/>
      <c r="I10" s="137"/>
      <c r="J10" s="137"/>
      <c r="K10" s="137"/>
    </row>
    <row r="11" spans="1:11" ht="14.25" customHeight="1">
      <c r="A11" s="135">
        <v>220</v>
      </c>
      <c r="B11" s="136">
        <v>45288</v>
      </c>
      <c r="C11" s="135" t="s">
        <v>10</v>
      </c>
      <c r="D11" s="135">
        <v>1750</v>
      </c>
      <c r="E11" s="135" t="s">
        <v>17</v>
      </c>
      <c r="F11" s="137"/>
      <c r="G11" s="137"/>
      <c r="H11" s="137"/>
      <c r="I11" s="137"/>
      <c r="J11" s="137"/>
      <c r="K11" s="137"/>
    </row>
    <row r="12" spans="1:11" ht="14.25" customHeight="1"/>
    <row r="13" spans="1:11" ht="14.25" customHeight="1"/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K52"/>
  <sheetViews>
    <sheetView workbookViewId="0"/>
  </sheetViews>
  <sheetFormatPr defaultColWidth="12.6328125" defaultRowHeight="15" customHeight="1"/>
  <cols>
    <col min="3" max="3" width="17.90625" customWidth="1"/>
    <col min="4" max="4" width="19.08984375" customWidth="1"/>
    <col min="5" max="5" width="18.453125" customWidth="1"/>
    <col min="6" max="6" width="15.6328125" customWidth="1"/>
    <col min="7" max="9" width="16.6328125" customWidth="1"/>
    <col min="10" max="11" width="18.7265625" customWidth="1"/>
  </cols>
  <sheetData>
    <row r="1" spans="1:11">
      <c r="A1" s="139" t="s">
        <v>22</v>
      </c>
      <c r="B1" s="140" t="s">
        <v>23</v>
      </c>
      <c r="C1" s="140" t="s">
        <v>24</v>
      </c>
      <c r="D1" s="140" t="s">
        <v>25</v>
      </c>
      <c r="E1" s="140" t="s">
        <v>26</v>
      </c>
      <c r="F1" s="140" t="s">
        <v>27</v>
      </c>
      <c r="G1" s="140" t="s">
        <v>28</v>
      </c>
      <c r="H1" s="140" t="s">
        <v>29</v>
      </c>
      <c r="I1" s="140" t="s">
        <v>30</v>
      </c>
      <c r="J1" s="140" t="s">
        <v>31</v>
      </c>
      <c r="K1" s="141" t="s">
        <v>32</v>
      </c>
    </row>
    <row r="2" spans="1:11">
      <c r="A2" s="142">
        <v>1</v>
      </c>
      <c r="B2" s="142" t="s">
        <v>33</v>
      </c>
      <c r="C2" s="143">
        <v>6900</v>
      </c>
      <c r="D2" s="143">
        <v>900</v>
      </c>
      <c r="E2" s="143">
        <v>1700</v>
      </c>
      <c r="F2" s="143">
        <v>2800</v>
      </c>
      <c r="G2" s="143">
        <v>2100</v>
      </c>
      <c r="H2" s="143">
        <v>1100</v>
      </c>
      <c r="I2" s="143">
        <v>3500</v>
      </c>
      <c r="J2" s="144" t="s">
        <v>34</v>
      </c>
      <c r="K2" s="145">
        <f>SUM(C2:C13)</f>
        <v>61200</v>
      </c>
    </row>
    <row r="3" spans="1:11">
      <c r="A3" s="142">
        <v>2</v>
      </c>
      <c r="B3" s="142" t="s">
        <v>35</v>
      </c>
      <c r="C3" s="143">
        <v>3400</v>
      </c>
      <c r="D3" s="143">
        <v>2700</v>
      </c>
      <c r="E3" s="143">
        <v>4900</v>
      </c>
      <c r="F3" s="143">
        <v>4100</v>
      </c>
      <c r="G3" s="143">
        <v>2000</v>
      </c>
      <c r="H3" s="143">
        <v>3100</v>
      </c>
      <c r="I3" s="143">
        <v>1800</v>
      </c>
      <c r="J3" s="144" t="s">
        <v>36</v>
      </c>
      <c r="K3" s="145">
        <f>SUM(D2:D13)</f>
        <v>26750</v>
      </c>
    </row>
    <row r="4" spans="1:11">
      <c r="A4" s="142">
        <v>3</v>
      </c>
      <c r="B4" s="142" t="s">
        <v>37</v>
      </c>
      <c r="C4" s="143">
        <v>4600</v>
      </c>
      <c r="D4" s="143">
        <v>3100</v>
      </c>
      <c r="E4" s="143">
        <v>4500</v>
      </c>
      <c r="F4" s="143">
        <v>4500</v>
      </c>
      <c r="G4" s="143">
        <v>3000</v>
      </c>
      <c r="H4" s="143">
        <v>2200</v>
      </c>
      <c r="I4" s="143">
        <v>2500</v>
      </c>
      <c r="J4" s="144" t="s">
        <v>38</v>
      </c>
      <c r="K4" s="145">
        <f>SUM(E2:E13)</f>
        <v>50000</v>
      </c>
    </row>
    <row r="5" spans="1:11">
      <c r="A5" s="142">
        <v>4</v>
      </c>
      <c r="B5" s="142" t="s">
        <v>39</v>
      </c>
      <c r="C5" s="143">
        <v>3800</v>
      </c>
      <c r="D5" s="143">
        <v>2800</v>
      </c>
      <c r="E5" s="143">
        <v>5200</v>
      </c>
      <c r="F5" s="143">
        <v>4300</v>
      </c>
      <c r="G5" s="143">
        <v>1700</v>
      </c>
      <c r="H5" s="143">
        <v>3500</v>
      </c>
      <c r="I5" s="143">
        <v>2300</v>
      </c>
      <c r="J5" s="146" t="s">
        <v>40</v>
      </c>
      <c r="K5" s="145">
        <f>SUM(F2:F13)</f>
        <v>39500</v>
      </c>
    </row>
    <row r="6" spans="1:11">
      <c r="A6" s="142">
        <v>5</v>
      </c>
      <c r="B6" s="142" t="s">
        <v>41</v>
      </c>
      <c r="C6" s="143">
        <v>4800</v>
      </c>
      <c r="D6" s="143">
        <v>2100</v>
      </c>
      <c r="E6" s="143">
        <v>4100</v>
      </c>
      <c r="F6" s="143">
        <v>4300</v>
      </c>
      <c r="G6" s="143">
        <v>3200</v>
      </c>
      <c r="H6" s="143">
        <v>2000</v>
      </c>
      <c r="I6" s="143">
        <v>1500</v>
      </c>
      <c r="J6" s="146" t="s">
        <v>42</v>
      </c>
      <c r="K6" s="145">
        <f>SUM(G2:G13)</f>
        <v>37400</v>
      </c>
    </row>
    <row r="7" spans="1:11">
      <c r="A7" s="142">
        <v>6</v>
      </c>
      <c r="B7" s="142" t="s">
        <v>43</v>
      </c>
      <c r="C7" s="143">
        <v>5050</v>
      </c>
      <c r="D7" s="143">
        <v>2100</v>
      </c>
      <c r="E7" s="143">
        <v>3950</v>
      </c>
      <c r="F7" s="143">
        <v>2600</v>
      </c>
      <c r="G7" s="143">
        <v>3550</v>
      </c>
      <c r="H7" s="143">
        <v>3300</v>
      </c>
      <c r="I7" s="143">
        <v>1650</v>
      </c>
      <c r="J7" s="146" t="s">
        <v>44</v>
      </c>
      <c r="K7" s="145">
        <f>SUM(H2:H13)</f>
        <v>37200</v>
      </c>
    </row>
    <row r="8" spans="1:11">
      <c r="A8" s="142">
        <v>7</v>
      </c>
      <c r="B8" s="142" t="s">
        <v>45</v>
      </c>
      <c r="C8" s="143">
        <v>5300</v>
      </c>
      <c r="D8" s="143">
        <v>2050</v>
      </c>
      <c r="E8" s="143">
        <v>4050</v>
      </c>
      <c r="F8" s="143">
        <v>2700</v>
      </c>
      <c r="G8" s="143">
        <v>3450</v>
      </c>
      <c r="H8" s="143">
        <v>3500</v>
      </c>
      <c r="I8" s="143">
        <v>1750</v>
      </c>
      <c r="J8" s="146" t="s">
        <v>46</v>
      </c>
      <c r="K8" s="145">
        <f>SUM(I2:I13)</f>
        <v>23850</v>
      </c>
    </row>
    <row r="9" spans="1:11">
      <c r="A9" s="142">
        <v>8</v>
      </c>
      <c r="B9" s="142" t="s">
        <v>47</v>
      </c>
      <c r="C9" s="143">
        <v>5400</v>
      </c>
      <c r="D9" s="143">
        <v>2200</v>
      </c>
      <c r="E9" s="143">
        <v>4300</v>
      </c>
      <c r="F9" s="143">
        <v>2850</v>
      </c>
      <c r="G9" s="143">
        <v>3700</v>
      </c>
      <c r="H9" s="143">
        <v>3600</v>
      </c>
      <c r="I9" s="143">
        <v>1750</v>
      </c>
    </row>
    <row r="10" spans="1:11">
      <c r="A10" s="142">
        <v>9</v>
      </c>
      <c r="B10" s="142" t="s">
        <v>48</v>
      </c>
      <c r="C10" s="143">
        <v>5550</v>
      </c>
      <c r="D10" s="143">
        <v>2150</v>
      </c>
      <c r="E10" s="143">
        <v>4200</v>
      </c>
      <c r="F10" s="143">
        <v>2850</v>
      </c>
      <c r="G10" s="143">
        <v>3550</v>
      </c>
      <c r="H10" s="143">
        <v>3700</v>
      </c>
      <c r="I10" s="143">
        <v>1800</v>
      </c>
    </row>
    <row r="11" spans="1:11">
      <c r="A11" s="142">
        <v>10</v>
      </c>
      <c r="B11" s="142" t="s">
        <v>49</v>
      </c>
      <c r="C11" s="143">
        <v>5550</v>
      </c>
      <c r="D11" s="143">
        <v>2300</v>
      </c>
      <c r="E11" s="143">
        <v>4550</v>
      </c>
      <c r="F11" s="143">
        <v>2950</v>
      </c>
      <c r="G11" s="143">
        <v>3900</v>
      </c>
      <c r="H11" s="143">
        <v>3800</v>
      </c>
      <c r="I11" s="143">
        <v>1750</v>
      </c>
    </row>
    <row r="12" spans="1:11">
      <c r="A12" s="142">
        <v>11</v>
      </c>
      <c r="B12" s="142" t="s">
        <v>50</v>
      </c>
      <c r="C12" s="143">
        <v>5350</v>
      </c>
      <c r="D12" s="143">
        <v>2150</v>
      </c>
      <c r="E12" s="143">
        <v>4100</v>
      </c>
      <c r="F12" s="143">
        <v>2700</v>
      </c>
      <c r="G12" s="143">
        <v>3550</v>
      </c>
      <c r="H12" s="143">
        <v>3550</v>
      </c>
      <c r="I12" s="143">
        <v>1800</v>
      </c>
    </row>
    <row r="13" spans="1:11">
      <c r="A13" s="142">
        <v>12</v>
      </c>
      <c r="B13" s="142" t="s">
        <v>51</v>
      </c>
      <c r="C13" s="143">
        <v>5500</v>
      </c>
      <c r="D13" s="143">
        <v>2200</v>
      </c>
      <c r="E13" s="143">
        <v>4450</v>
      </c>
      <c r="F13" s="143">
        <v>2850</v>
      </c>
      <c r="G13" s="143">
        <v>3700</v>
      </c>
      <c r="H13" s="143">
        <v>3850</v>
      </c>
      <c r="I13" s="143">
        <v>1750</v>
      </c>
    </row>
    <row r="14" spans="1:11">
      <c r="C14" s="147"/>
      <c r="D14" s="147"/>
      <c r="E14" s="147"/>
    </row>
    <row r="15" spans="1:11">
      <c r="A15" s="149" t="s">
        <v>52</v>
      </c>
      <c r="B15" s="150"/>
      <c r="C15" s="150"/>
      <c r="D15" s="150"/>
      <c r="E15" s="149" t="s">
        <v>53</v>
      </c>
      <c r="F15" s="150"/>
      <c r="G15" s="150"/>
      <c r="H15" s="150"/>
    </row>
    <row r="29" spans="1:4">
      <c r="A29" s="149" t="s">
        <v>54</v>
      </c>
      <c r="B29" s="150"/>
      <c r="C29" s="150"/>
      <c r="D29" s="150"/>
    </row>
    <row r="49" spans="2:6">
      <c r="B49" s="147" t="s">
        <v>55</v>
      </c>
      <c r="C49" s="147">
        <v>61200</v>
      </c>
      <c r="E49" s="147" t="s">
        <v>12</v>
      </c>
      <c r="F49" s="148">
        <v>39500</v>
      </c>
    </row>
    <row r="50" spans="2:6">
      <c r="B50" s="147" t="s">
        <v>56</v>
      </c>
      <c r="C50" s="147">
        <v>26750</v>
      </c>
      <c r="E50" s="147" t="s">
        <v>16</v>
      </c>
      <c r="F50" s="147">
        <v>37400</v>
      </c>
    </row>
    <row r="51" spans="2:6">
      <c r="B51" s="147" t="s">
        <v>57</v>
      </c>
      <c r="C51" s="147">
        <v>50000</v>
      </c>
      <c r="E51" s="147" t="s">
        <v>19</v>
      </c>
      <c r="F51" s="147">
        <v>37200</v>
      </c>
    </row>
    <row r="52" spans="2:6">
      <c r="E52" s="147" t="s">
        <v>20</v>
      </c>
      <c r="F52" s="147">
        <v>23850</v>
      </c>
    </row>
  </sheetData>
  <mergeCells count="3">
    <mergeCell ref="A15:D15"/>
    <mergeCell ref="E15:H15"/>
    <mergeCell ref="A29:D29"/>
  </mergeCells>
  <hyperlinks>
    <hyperlink ref="A1" r:id="rId1" xr:uid="{00000000-0004-0000-0C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Sept</vt:lpstr>
      <vt:lpstr>Oct</vt:lpstr>
      <vt:lpstr>Nov</vt:lpstr>
      <vt:lpstr>Dec</vt:lpstr>
      <vt:lpstr>Annual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Muhammad Saad Khan</cp:lastModifiedBy>
  <dcterms:created xsi:type="dcterms:W3CDTF">2024-09-07T09:55:05Z</dcterms:created>
  <dcterms:modified xsi:type="dcterms:W3CDTF">2024-09-28T07:37:24Z</dcterms:modified>
</cp:coreProperties>
</file>